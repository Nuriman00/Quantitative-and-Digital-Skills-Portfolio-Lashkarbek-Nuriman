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yota Motor Corporation (TM)" sheetId="1" r:id="rId5"/>
    <sheet state="visible" name="Volkswagen AG (VOW3.DE)" sheetId="2" r:id="rId6"/>
    <sheet state="visible" name="Combine" sheetId="3" r:id="rId7"/>
    <sheet state="visible" name="S&amp;P 500" sheetId="4" r:id="rId8"/>
    <sheet state="visible" name="Sharpe Ratio and Comparison of " sheetId="5" r:id="rId9"/>
    <sheet state="visible" name="Regression" sheetId="6" r:id="rId10"/>
  </sheets>
  <definedNames/>
  <calcPr/>
</workbook>
</file>

<file path=xl/sharedStrings.xml><?xml version="1.0" encoding="utf-8"?>
<sst xmlns="http://schemas.openxmlformats.org/spreadsheetml/2006/main" count="103" uniqueCount="80">
  <si>
    <t>Date</t>
  </si>
  <si>
    <t>Open</t>
  </si>
  <si>
    <t>High</t>
  </si>
  <si>
    <t>Low</t>
  </si>
  <si>
    <t>Close</t>
  </si>
  <si>
    <t>Adj Close</t>
  </si>
  <si>
    <t>Volume</t>
  </si>
  <si>
    <t>yahoo.finance</t>
  </si>
  <si>
    <t>Toyota Motor Corporation (TM)</t>
  </si>
  <si>
    <t>Volkswagen AG (VOW3.DE)</t>
  </si>
  <si>
    <t>Weekly return Toyota</t>
  </si>
  <si>
    <t>Weekly return (Volkswagen)</t>
  </si>
  <si>
    <t>Data Descriptions</t>
  </si>
  <si>
    <t>Max</t>
  </si>
  <si>
    <t>MIn</t>
  </si>
  <si>
    <t>Range</t>
  </si>
  <si>
    <t>Q3</t>
  </si>
  <si>
    <t>Q1</t>
  </si>
  <si>
    <t>IQR</t>
  </si>
  <si>
    <t>Fence</t>
  </si>
  <si>
    <t>Upper Fence</t>
  </si>
  <si>
    <t>Lower fence</t>
  </si>
  <si>
    <t xml:space="preserve">Mean </t>
  </si>
  <si>
    <t>Z min</t>
  </si>
  <si>
    <t>Zmax</t>
  </si>
  <si>
    <t>Mean absolute deviation</t>
  </si>
  <si>
    <t>Sample Varience</t>
  </si>
  <si>
    <t>Sample Standard deviation</t>
  </si>
  <si>
    <t>CV</t>
  </si>
  <si>
    <t>Covarience</t>
  </si>
  <si>
    <t>Correlation</t>
  </si>
  <si>
    <t>Weekly return</t>
  </si>
  <si>
    <t>Sharpe Ratio</t>
  </si>
  <si>
    <t>One year T.Bill</t>
  </si>
  <si>
    <t xml:space="preserve"> </t>
  </si>
  <si>
    <t>One week T.Bill</t>
  </si>
  <si>
    <t>Comparison of risk (Variance)</t>
  </si>
  <si>
    <t>Spotify</t>
  </si>
  <si>
    <t>V</t>
  </si>
  <si>
    <t>122870 KQ</t>
  </si>
  <si>
    <t>T</t>
  </si>
  <si>
    <t>H0:</t>
  </si>
  <si>
    <t>σ^2(T)​=σ^2(V)​</t>
  </si>
  <si>
    <t>HA:</t>
  </si>
  <si>
    <t>σ^2(T) &gt;​σ^2(V)​</t>
  </si>
  <si>
    <t>n</t>
  </si>
  <si>
    <t>df1</t>
  </si>
  <si>
    <t>df2</t>
  </si>
  <si>
    <t>F(df1, df2)</t>
  </si>
  <si>
    <t>S(T)/S(V)</t>
  </si>
  <si>
    <t>F(53, 53)</t>
  </si>
  <si>
    <t xml:space="preserve">P </t>
  </si>
  <si>
    <t>Fails to reject H0 at 5% significane level</t>
  </si>
  <si>
    <t>Toyota</t>
  </si>
  <si>
    <t>S&amp;P 500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</si>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</sst>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 d, yyyy"/>
    <numFmt numFmtId="165" formatCode="mmmm d, yyyy"/>
    <numFmt numFmtId="166" formatCode="dd/MM/yyyy"/>
    <numFmt numFmtId="167" formatCode="0.00000"/>
  </numFmts>
  <fonts count="1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i/>
      <sz val="18.0"/>
      <color rgb="FF000000"/>
      <name val="&quot;GT America&quot;"/>
    </font>
    <font>
      <sz val="9.0"/>
      <color theme="1"/>
      <name val="GT America"/>
    </font>
    <font>
      <b/>
      <sz val="11.0"/>
      <color rgb="FF222222"/>
      <name val="&quot;Google Sans&quot;"/>
    </font>
    <font>
      <b/>
      <sz val="11.0"/>
      <color theme="1"/>
      <name val="Arial"/>
    </font>
    <font>
      <color theme="1"/>
      <name val="Arial"/>
    </font>
    <font>
      <sz val="22.0"/>
      <color theme="1"/>
      <name val="Arial"/>
    </font>
    <font/>
    <font>
      <sz val="11.0"/>
      <color theme="1"/>
      <name val="GT America"/>
    </font>
    <font>
      <sz val="11.0"/>
      <color theme="1"/>
      <name val="Arial"/>
    </font>
    <font>
      <sz val="23.0"/>
      <color theme="1"/>
      <name val="Arial"/>
    </font>
    <font>
      <b/>
      <color theme="1"/>
      <name val="Arial"/>
    </font>
    <font>
      <b/>
      <sz val="12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E1E9F7"/>
        <bgColor rgb="FFE1E9F7"/>
      </patternFill>
    </fill>
    <fill>
      <patternFill patternType="solid">
        <fgColor rgb="FFFF4E4E"/>
        <bgColor rgb="FFFF4E4E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CCCCCC"/>
        <bgColor rgb="FFCCCCCC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ck">
        <color rgb="FFCCCCCC"/>
      </left>
      <top style="thick">
        <color rgb="FFCCCCCC"/>
      </top>
    </border>
    <border>
      <right style="thick">
        <color rgb="FFCCCCCC"/>
      </right>
      <top style="thick">
        <color rgb="FFCCCCCC"/>
      </top>
    </border>
    <border>
      <left style="thick">
        <color rgb="FFCCCCCC"/>
      </left>
    </border>
    <border>
      <right style="thick">
        <color rgb="FFCCCCCC"/>
      </right>
    </border>
    <border>
      <left style="thick">
        <color rgb="FFCCCCCC"/>
      </left>
      <bottom style="thick">
        <color rgb="FFCCCCCC"/>
      </bottom>
    </border>
    <border>
      <right style="thick">
        <color rgb="FFCCCCCC"/>
      </right>
      <bottom style="thick">
        <color rgb="FFCCCCCC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readingOrder="0"/>
    </xf>
    <xf borderId="0" fillId="0" fontId="1" numFmtId="165" xfId="0" applyAlignment="1" applyFont="1" applyNumberFormat="1">
      <alignment readingOrder="0"/>
    </xf>
    <xf borderId="0" fillId="2" fontId="1" numFmtId="0" xfId="0" applyFont="1"/>
    <xf borderId="0" fillId="3" fontId="4" numFmtId="166" xfId="0" applyAlignment="1" applyFont="1" applyNumberFormat="1">
      <alignment vertical="bottom"/>
    </xf>
    <xf borderId="0" fillId="4" fontId="5" numFmtId="0" xfId="0" applyAlignment="1" applyFill="1" applyFont="1">
      <alignment readingOrder="0"/>
    </xf>
    <xf borderId="0" fillId="5" fontId="6" numFmtId="0" xfId="0" applyAlignment="1" applyFill="1" applyFont="1">
      <alignment readingOrder="0" vertical="bottom"/>
    </xf>
    <xf borderId="0" fillId="3" fontId="7" numFmtId="0" xfId="0" applyAlignment="1" applyFont="1">
      <alignment readingOrder="0" vertical="bottom"/>
    </xf>
    <xf borderId="0" fillId="5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1" fillId="6" fontId="8" numFmtId="0" xfId="0" applyAlignment="1" applyBorder="1" applyFill="1" applyFont="1">
      <alignment vertical="bottom"/>
    </xf>
    <xf borderId="2" fillId="0" fontId="9" numFmtId="0" xfId="0" applyBorder="1" applyFont="1"/>
    <xf borderId="3" fillId="0" fontId="9" numFmtId="0" xfId="0" applyBorder="1" applyFont="1"/>
    <xf borderId="0" fillId="0" fontId="1" numFmtId="166" xfId="0" applyAlignment="1" applyFont="1" applyNumberFormat="1">
      <alignment readingOrder="0"/>
    </xf>
    <xf borderId="0" fillId="3" fontId="10" numFmtId="0" xfId="0" applyAlignment="1" applyFont="1">
      <alignment horizontal="right" readingOrder="0" vertical="bottom"/>
    </xf>
    <xf borderId="0" fillId="3" fontId="11" numFmtId="4" xfId="0" applyAlignment="1" applyFont="1" applyNumberFormat="1">
      <alignment horizontal="right" readingOrder="0" vertical="bottom"/>
    </xf>
    <xf borderId="0" fillId="0" fontId="7" numFmtId="10" xfId="0" applyAlignment="1" applyFont="1" applyNumberFormat="1">
      <alignment horizontal="right" vertical="bottom"/>
    </xf>
    <xf borderId="4" fillId="3" fontId="7" numFmtId="0" xfId="0" applyAlignment="1" applyBorder="1" applyFont="1">
      <alignment vertical="bottom"/>
    </xf>
    <xf borderId="5" fillId="3" fontId="7" numFmtId="0" xfId="0" applyAlignment="1" applyBorder="1" applyFont="1">
      <alignment vertical="bottom"/>
    </xf>
    <xf borderId="6" fillId="3" fontId="7" numFmtId="0" xfId="0" applyAlignment="1" applyBorder="1" applyFont="1">
      <alignment vertical="bottom"/>
    </xf>
    <xf borderId="0" fillId="3" fontId="10" numFmtId="4" xfId="0" applyAlignment="1" applyFont="1" applyNumberFormat="1">
      <alignment horizontal="right" vertical="bottom"/>
    </xf>
    <xf borderId="1" fillId="0" fontId="7" numFmtId="0" xfId="0" applyAlignment="1" applyBorder="1" applyFont="1">
      <alignment vertical="bottom"/>
    </xf>
    <xf borderId="2" fillId="0" fontId="7" numFmtId="0" xfId="0" applyAlignment="1" applyBorder="1" applyFont="1">
      <alignment vertical="bottom"/>
    </xf>
    <xf borderId="3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8" fillId="0" fontId="7" numFmtId="10" xfId="0" applyAlignment="1" applyBorder="1" applyFont="1" applyNumberFormat="1">
      <alignment horizontal="right" vertical="bottom"/>
    </xf>
    <xf borderId="8" fillId="0" fontId="7" numFmtId="0" xfId="0" applyAlignment="1" applyBorder="1" applyFont="1">
      <alignment vertical="bottom"/>
    </xf>
    <xf borderId="0" fillId="0" fontId="7" numFmtId="4" xfId="0" applyAlignment="1" applyFont="1" applyNumberFormat="1">
      <alignment horizontal="right" vertical="bottom"/>
    </xf>
    <xf borderId="8" fillId="0" fontId="7" numFmtId="4" xfId="0" applyAlignment="1" applyBorder="1" applyFont="1" applyNumberFormat="1">
      <alignment horizontal="right" vertical="bottom"/>
    </xf>
    <xf borderId="4" fillId="0" fontId="7" numFmtId="0" xfId="0" applyAlignment="1" applyBorder="1" applyFont="1">
      <alignment vertical="bottom"/>
    </xf>
    <xf borderId="5" fillId="0" fontId="7" numFmtId="4" xfId="0" applyAlignment="1" applyBorder="1" applyFont="1" applyNumberFormat="1">
      <alignment horizontal="right" vertical="bottom"/>
    </xf>
    <xf borderId="6" fillId="0" fontId="7" numFmtId="4" xfId="0" applyAlignment="1" applyBorder="1" applyFont="1" applyNumberFormat="1">
      <alignment horizontal="right" vertical="bottom"/>
    </xf>
    <xf borderId="3" fillId="0" fontId="7" numFmtId="167" xfId="0" applyAlignment="1" applyBorder="1" applyFont="1" applyNumberFormat="1">
      <alignment horizontal="right" vertical="bottom"/>
    </xf>
    <xf borderId="6" fillId="0" fontId="7" numFmtId="167" xfId="0" applyAlignment="1" applyBorder="1" applyFont="1" applyNumberFormat="1">
      <alignment horizontal="right" vertical="bottom"/>
    </xf>
    <xf borderId="0" fillId="0" fontId="7" numFmtId="166" xfId="0" applyAlignment="1" applyFont="1" applyNumberFormat="1">
      <alignment vertical="bottom"/>
    </xf>
    <xf borderId="0" fillId="3" fontId="7" numFmtId="4" xfId="0" applyAlignment="1" applyFont="1" applyNumberFormat="1">
      <alignment vertical="bottom"/>
    </xf>
    <xf borderId="0" fillId="0" fontId="7" numFmtId="10" xfId="0" applyAlignment="1" applyFont="1" applyNumberFormat="1">
      <alignment vertical="bottom"/>
    </xf>
    <xf borderId="0" fillId="7" fontId="1" numFmtId="10" xfId="0" applyAlignment="1" applyFill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7" fontId="1" numFmtId="10" xfId="0" applyFont="1" applyNumberFormat="1"/>
    <xf borderId="0" fillId="0" fontId="1" numFmtId="166" xfId="0" applyFont="1" applyNumberFormat="1"/>
    <xf borderId="1" fillId="0" fontId="12" numFmtId="0" xfId="0" applyAlignment="1" applyBorder="1" applyFont="1">
      <alignment vertical="bottom"/>
    </xf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0" fillId="0" fontId="7" numFmtId="9" xfId="0" applyAlignment="1" applyFont="1" applyNumberFormat="1">
      <alignment horizontal="right" vertical="bottom"/>
    </xf>
    <xf borderId="8" fillId="0" fontId="7" numFmtId="9" xfId="0" applyAlignment="1" applyBorder="1" applyFont="1" applyNumberFormat="1">
      <alignment horizontal="right" vertical="bottom"/>
    </xf>
    <xf borderId="0" fillId="0" fontId="13" numFmtId="10" xfId="0" applyAlignment="1" applyFont="1" applyNumberFormat="1">
      <alignment horizontal="right" vertical="bottom"/>
    </xf>
    <xf borderId="5" fillId="0" fontId="7" numFmtId="0" xfId="0" applyAlignment="1" applyBorder="1" applyFont="1">
      <alignment vertical="bottom"/>
    </xf>
    <xf borderId="6" fillId="0" fontId="7" numFmtId="0" xfId="0" applyAlignment="1" applyBorder="1" applyFont="1">
      <alignment vertical="bottom"/>
    </xf>
    <xf borderId="9" fillId="8" fontId="14" numFmtId="0" xfId="0" applyAlignment="1" applyBorder="1" applyFill="1" applyFont="1">
      <alignment horizontal="center" vertical="bottom"/>
    </xf>
    <xf borderId="10" fillId="0" fontId="9" numFmtId="0" xfId="0" applyBorder="1" applyFont="1"/>
    <xf borderId="11" fillId="0" fontId="13" numFmtId="0" xfId="0" applyAlignment="1" applyBorder="1" applyFont="1">
      <alignment vertical="bottom"/>
    </xf>
    <xf borderId="12" fillId="0" fontId="13" numFmtId="0" xfId="0" applyAlignment="1" applyBorder="1" applyFont="1">
      <alignment horizontal="center" vertical="bottom"/>
    </xf>
    <xf borderId="0" fillId="3" fontId="13" numFmtId="0" xfId="0" applyAlignment="1" applyFont="1">
      <alignment vertical="bottom"/>
    </xf>
    <xf borderId="11" fillId="0" fontId="7" numFmtId="0" xfId="0" applyAlignment="1" applyBorder="1" applyFont="1">
      <alignment vertical="bottom"/>
    </xf>
    <xf borderId="12" fillId="0" fontId="7" numFmtId="0" xfId="0" applyAlignment="1" applyBorder="1" applyFont="1">
      <alignment vertical="bottom"/>
    </xf>
    <xf borderId="12" fillId="0" fontId="13" numFmtId="0" xfId="0" applyAlignment="1" applyBorder="1" applyFont="1">
      <alignment horizontal="right" vertical="bottom"/>
    </xf>
    <xf borderId="12" fillId="0" fontId="13" numFmtId="4" xfId="0" applyAlignment="1" applyBorder="1" applyFont="1" applyNumberFormat="1">
      <alignment horizontal="right" vertical="bottom"/>
    </xf>
    <xf borderId="12" fillId="6" fontId="13" numFmtId="167" xfId="0" applyAlignment="1" applyBorder="1" applyFont="1" applyNumberFormat="1">
      <alignment horizontal="right" vertical="bottom"/>
    </xf>
    <xf borderId="13" fillId="6" fontId="7" numFmtId="0" xfId="0" applyAlignment="1" applyBorder="1" applyFont="1">
      <alignment horizontal="center" vertical="bottom"/>
    </xf>
    <xf borderId="14" fillId="0" fontId="9" numFmtId="0" xfId="0" applyBorder="1" applyFont="1"/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Combine!$E$1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Combine!$B$2:$B$1000</c:f>
            </c:numRef>
          </c:xVal>
          <c:yVal>
            <c:numRef>
              <c:f>Combine!$E$2:$E$1000</c:f>
              <c:numCache/>
            </c:numRef>
          </c:yVal>
        </c:ser>
        <c:ser>
          <c:idx val="1"/>
          <c:order val="1"/>
          <c:tx>
            <c:strRef>
              <c:f>Combine!$D$1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Combine!$B$2:$B$1000</c:f>
            </c:numRef>
          </c:xVal>
          <c:yVal>
            <c:numRef>
              <c:f>Combine!$D$2:$D$1000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6634423"/>
        <c:axId val="623297736"/>
      </c:scatterChart>
      <c:valAx>
        <c:axId val="17466344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297736"/>
      </c:valAx>
      <c:valAx>
        <c:axId val="6232977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6344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571500</xdr:colOff>
      <xdr:row>4</xdr:row>
      <xdr:rowOff>133350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TM/history/?frequency=1wk&amp;period1=1741697995&amp;period2=1773233866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finance.yahoo.com/quote/VOW3.DE/history/?frequency=1wk&amp;period1=1741698242&amp;period2=1773234225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3">
        <v>46091.0</v>
      </c>
      <c r="B2" s="1">
        <v>222.42</v>
      </c>
      <c r="C2" s="1">
        <v>224.96</v>
      </c>
      <c r="D2" s="1">
        <v>220.81</v>
      </c>
      <c r="E2" s="1">
        <v>221.01</v>
      </c>
      <c r="F2" s="2">
        <v>221.01</v>
      </c>
      <c r="G2" s="4">
        <v>215636.0</v>
      </c>
      <c r="I2" s="5" t="s">
        <v>7</v>
      </c>
    </row>
    <row r="3">
      <c r="A3" s="3">
        <v>46090.0</v>
      </c>
      <c r="B3" s="1">
        <v>216.17</v>
      </c>
      <c r="C3" s="1">
        <v>224.98</v>
      </c>
      <c r="D3" s="1">
        <v>213.85</v>
      </c>
      <c r="E3" s="1">
        <v>221.01</v>
      </c>
      <c r="F3" s="2">
        <v>221.01</v>
      </c>
      <c r="G3" s="4">
        <v>539900.0</v>
      </c>
    </row>
    <row r="4">
      <c r="A4" s="3">
        <v>46083.0</v>
      </c>
      <c r="B4" s="1">
        <v>242.99</v>
      </c>
      <c r="C4" s="1">
        <v>244.0</v>
      </c>
      <c r="D4" s="1">
        <v>217.08</v>
      </c>
      <c r="E4" s="1">
        <v>219.14</v>
      </c>
      <c r="F4" s="2">
        <v>219.14</v>
      </c>
      <c r="G4" s="4">
        <v>2236900.0</v>
      </c>
    </row>
    <row r="5">
      <c r="A5" s="3">
        <v>46076.0</v>
      </c>
      <c r="B5" s="1">
        <v>237.95</v>
      </c>
      <c r="C5" s="1">
        <v>244.24</v>
      </c>
      <c r="D5" s="1">
        <v>235.72</v>
      </c>
      <c r="E5" s="1">
        <v>242.38</v>
      </c>
      <c r="F5" s="2">
        <v>242.38</v>
      </c>
      <c r="G5" s="4">
        <v>1208500.0</v>
      </c>
      <c r="I5" s="6" t="s">
        <v>8</v>
      </c>
    </row>
    <row r="6">
      <c r="A6" s="3">
        <v>46069.0</v>
      </c>
      <c r="B6" s="1">
        <v>243.49</v>
      </c>
      <c r="C6" s="1">
        <v>245.52</v>
      </c>
      <c r="D6" s="1">
        <v>234.13</v>
      </c>
      <c r="E6" s="1">
        <v>239.6</v>
      </c>
      <c r="F6" s="2">
        <v>239.6</v>
      </c>
      <c r="G6" s="4">
        <v>1009400.0</v>
      </c>
    </row>
    <row r="7">
      <c r="A7" s="3">
        <v>46062.0</v>
      </c>
      <c r="B7" s="1">
        <v>239.92</v>
      </c>
      <c r="C7" s="1">
        <v>248.9</v>
      </c>
      <c r="D7" s="1">
        <v>238.22</v>
      </c>
      <c r="E7" s="1">
        <v>248.29</v>
      </c>
      <c r="F7" s="2">
        <v>248.29</v>
      </c>
      <c r="G7" s="4">
        <v>1495200.0</v>
      </c>
    </row>
    <row r="8">
      <c r="A8" s="3">
        <v>46055.0</v>
      </c>
      <c r="B8" s="1">
        <v>229.1</v>
      </c>
      <c r="C8" s="1">
        <v>246.36</v>
      </c>
      <c r="D8" s="1">
        <v>228.07</v>
      </c>
      <c r="E8" s="1">
        <v>244.22</v>
      </c>
      <c r="F8" s="2">
        <v>244.22</v>
      </c>
      <c r="G8" s="4">
        <v>1861000.0</v>
      </c>
    </row>
    <row r="9">
      <c r="A9" s="3">
        <v>46048.0</v>
      </c>
      <c r="B9" s="1">
        <v>225.0</v>
      </c>
      <c r="C9" s="1">
        <v>228.05</v>
      </c>
      <c r="D9" s="1">
        <v>217.48</v>
      </c>
      <c r="E9" s="1">
        <v>226.86</v>
      </c>
      <c r="F9" s="2">
        <v>226.86</v>
      </c>
      <c r="G9" s="4">
        <v>1686100.0</v>
      </c>
    </row>
    <row r="10">
      <c r="A10" s="3">
        <v>46041.0</v>
      </c>
      <c r="B10" s="1">
        <v>222.5</v>
      </c>
      <c r="C10" s="1">
        <v>228.46</v>
      </c>
      <c r="D10" s="1">
        <v>220.09</v>
      </c>
      <c r="E10" s="1">
        <v>226.28</v>
      </c>
      <c r="F10" s="2">
        <v>226.28</v>
      </c>
      <c r="G10" s="4">
        <v>1091900.0</v>
      </c>
    </row>
    <row r="11">
      <c r="A11" s="3">
        <v>46034.0</v>
      </c>
      <c r="B11" s="1">
        <v>221.97</v>
      </c>
      <c r="C11" s="1">
        <v>235.64</v>
      </c>
      <c r="D11" s="1">
        <v>221.6</v>
      </c>
      <c r="E11" s="1">
        <v>231.42</v>
      </c>
      <c r="F11" s="2">
        <v>231.42</v>
      </c>
      <c r="G11" s="4">
        <v>1625000.0</v>
      </c>
    </row>
    <row r="12">
      <c r="A12" s="3">
        <v>46027.0</v>
      </c>
      <c r="B12" s="1">
        <v>218.0</v>
      </c>
      <c r="C12" s="1">
        <v>222.34</v>
      </c>
      <c r="D12" s="1">
        <v>211.0</v>
      </c>
      <c r="E12" s="1">
        <v>221.52</v>
      </c>
      <c r="F12" s="2">
        <v>221.52</v>
      </c>
      <c r="G12" s="4">
        <v>1849900.0</v>
      </c>
    </row>
    <row r="13">
      <c r="A13" s="3">
        <v>46020.0</v>
      </c>
      <c r="B13" s="1">
        <v>215.67</v>
      </c>
      <c r="C13" s="1">
        <v>217.87</v>
      </c>
      <c r="D13" s="1">
        <v>214.06</v>
      </c>
      <c r="E13" s="1">
        <v>217.87</v>
      </c>
      <c r="F13" s="2">
        <v>217.87</v>
      </c>
      <c r="G13" s="4">
        <v>861100.0</v>
      </c>
    </row>
    <row r="14">
      <c r="A14" s="3">
        <v>46013.0</v>
      </c>
      <c r="B14" s="1">
        <v>219.08</v>
      </c>
      <c r="C14" s="1">
        <v>220.31</v>
      </c>
      <c r="D14" s="1">
        <v>215.0</v>
      </c>
      <c r="E14" s="1">
        <v>216.62</v>
      </c>
      <c r="F14" s="2">
        <v>216.62</v>
      </c>
      <c r="G14" s="4">
        <v>885700.0</v>
      </c>
    </row>
    <row r="15">
      <c r="A15" s="3">
        <v>46006.0</v>
      </c>
      <c r="B15" s="1">
        <v>215.25</v>
      </c>
      <c r="C15" s="1">
        <v>220.56</v>
      </c>
      <c r="D15" s="1">
        <v>214.0</v>
      </c>
      <c r="E15" s="1">
        <v>219.38</v>
      </c>
      <c r="F15" s="2">
        <v>219.38</v>
      </c>
      <c r="G15" s="4">
        <v>1814000.0</v>
      </c>
    </row>
    <row r="16">
      <c r="A16" s="3">
        <v>45999.0</v>
      </c>
      <c r="B16" s="1">
        <v>196.37</v>
      </c>
      <c r="C16" s="1">
        <v>209.43</v>
      </c>
      <c r="D16" s="1">
        <v>195.0</v>
      </c>
      <c r="E16" s="1">
        <v>208.12</v>
      </c>
      <c r="F16" s="2">
        <v>208.12</v>
      </c>
      <c r="G16" s="4">
        <v>1868800.0</v>
      </c>
    </row>
    <row r="17">
      <c r="A17" s="3">
        <v>45992.0</v>
      </c>
      <c r="B17" s="1">
        <v>199.13</v>
      </c>
      <c r="C17" s="1">
        <v>200.33</v>
      </c>
      <c r="D17" s="1">
        <v>192.71</v>
      </c>
      <c r="E17" s="1">
        <v>196.56</v>
      </c>
      <c r="F17" s="2">
        <v>196.56</v>
      </c>
      <c r="G17" s="4">
        <v>1643600.0</v>
      </c>
    </row>
    <row r="18">
      <c r="A18" s="3">
        <v>45985.0</v>
      </c>
      <c r="B18" s="1">
        <v>198.38</v>
      </c>
      <c r="C18" s="1">
        <v>202.88</v>
      </c>
      <c r="D18" s="1">
        <v>197.0</v>
      </c>
      <c r="E18" s="1">
        <v>201.87</v>
      </c>
      <c r="F18" s="2">
        <v>201.87</v>
      </c>
      <c r="G18" s="4">
        <v>813900.0</v>
      </c>
    </row>
    <row r="19">
      <c r="A19" s="3">
        <v>45978.0</v>
      </c>
      <c r="B19" s="1">
        <v>200.02</v>
      </c>
      <c r="C19" s="1">
        <v>201.2</v>
      </c>
      <c r="D19" s="1">
        <v>191.24</v>
      </c>
      <c r="E19" s="1">
        <v>197.62</v>
      </c>
      <c r="F19" s="2">
        <v>197.62</v>
      </c>
      <c r="G19" s="4">
        <v>1383700.0</v>
      </c>
    </row>
    <row r="20">
      <c r="A20" s="3">
        <v>45971.0</v>
      </c>
      <c r="B20" s="1">
        <v>202.83</v>
      </c>
      <c r="C20" s="1">
        <v>208.32</v>
      </c>
      <c r="D20" s="1">
        <v>201.94</v>
      </c>
      <c r="E20" s="1">
        <v>204.08</v>
      </c>
      <c r="F20" s="2">
        <v>204.08</v>
      </c>
      <c r="G20" s="4">
        <v>1165000.0</v>
      </c>
    </row>
    <row r="21">
      <c r="A21" s="3">
        <v>45964.0</v>
      </c>
      <c r="B21" s="1">
        <v>204.19</v>
      </c>
      <c r="C21" s="1">
        <v>206.25</v>
      </c>
      <c r="D21" s="1">
        <v>197.97</v>
      </c>
      <c r="E21" s="1">
        <v>201.98</v>
      </c>
      <c r="F21" s="2">
        <v>201.98</v>
      </c>
      <c r="G21" s="4">
        <v>1776000.0</v>
      </c>
    </row>
    <row r="22">
      <c r="A22" s="3">
        <v>45957.0</v>
      </c>
      <c r="B22" s="1">
        <v>209.76</v>
      </c>
      <c r="C22" s="1">
        <v>211.24</v>
      </c>
      <c r="D22" s="1">
        <v>203.49</v>
      </c>
      <c r="E22" s="1">
        <v>204.19</v>
      </c>
      <c r="F22" s="2">
        <v>204.19</v>
      </c>
      <c r="G22" s="4">
        <v>1460200.0</v>
      </c>
    </row>
    <row r="23">
      <c r="A23" s="3">
        <v>45950.0</v>
      </c>
      <c r="B23" s="1">
        <v>199.91</v>
      </c>
      <c r="C23" s="1">
        <v>205.8</v>
      </c>
      <c r="D23" s="1">
        <v>198.8</v>
      </c>
      <c r="E23" s="1">
        <v>205.37</v>
      </c>
      <c r="F23" s="2">
        <v>205.37</v>
      </c>
      <c r="G23" s="4">
        <v>1553200.0</v>
      </c>
    </row>
    <row r="24">
      <c r="A24" s="3">
        <v>45943.0</v>
      </c>
      <c r="B24" s="1">
        <v>187.44</v>
      </c>
      <c r="C24" s="1">
        <v>198.14</v>
      </c>
      <c r="D24" s="1">
        <v>186.97</v>
      </c>
      <c r="E24" s="1">
        <v>197.83</v>
      </c>
      <c r="F24" s="2">
        <v>197.83</v>
      </c>
      <c r="G24" s="4">
        <v>1560400.0</v>
      </c>
    </row>
    <row r="25">
      <c r="A25" s="3">
        <v>45936.0</v>
      </c>
      <c r="B25" s="1">
        <v>198.74</v>
      </c>
      <c r="C25" s="1">
        <v>200.9</v>
      </c>
      <c r="D25" s="1">
        <v>185.0</v>
      </c>
      <c r="E25" s="1">
        <v>185.22</v>
      </c>
      <c r="F25" s="2">
        <v>185.22</v>
      </c>
      <c r="G25" s="4">
        <v>1835600.0</v>
      </c>
    </row>
    <row r="26">
      <c r="A26" s="3">
        <v>45929.0</v>
      </c>
      <c r="B26" s="1">
        <v>197.06</v>
      </c>
      <c r="C26" s="1">
        <v>197.17</v>
      </c>
      <c r="D26" s="1">
        <v>190.02</v>
      </c>
      <c r="E26" s="1">
        <v>194.59</v>
      </c>
      <c r="F26" s="2">
        <v>194.59</v>
      </c>
      <c r="G26" s="4">
        <v>1696900.0</v>
      </c>
    </row>
    <row r="27">
      <c r="A27" s="3">
        <v>45922.0</v>
      </c>
      <c r="B27" s="1">
        <v>200.0</v>
      </c>
      <c r="C27" s="1">
        <v>202.37</v>
      </c>
      <c r="D27" s="1">
        <v>196.93</v>
      </c>
      <c r="E27" s="1">
        <v>198.1</v>
      </c>
      <c r="F27" s="2">
        <v>198.1</v>
      </c>
      <c r="G27" s="4">
        <v>1098600.0</v>
      </c>
    </row>
    <row r="28">
      <c r="A28" s="3">
        <v>45915.0</v>
      </c>
      <c r="B28" s="1">
        <v>197.38</v>
      </c>
      <c r="C28" s="1">
        <v>202.87</v>
      </c>
      <c r="D28" s="1">
        <v>196.71</v>
      </c>
      <c r="E28" s="1">
        <v>198.95</v>
      </c>
      <c r="F28" s="2">
        <v>198.95</v>
      </c>
      <c r="G28" s="4">
        <v>1172400.0</v>
      </c>
    </row>
    <row r="29">
      <c r="A29" s="3">
        <v>45908.0</v>
      </c>
      <c r="B29" s="1">
        <v>201.49</v>
      </c>
      <c r="C29" s="1">
        <v>202.85</v>
      </c>
      <c r="D29" s="1">
        <v>195.42</v>
      </c>
      <c r="E29" s="1">
        <v>196.13</v>
      </c>
      <c r="F29" s="2">
        <v>196.13</v>
      </c>
      <c r="G29" s="4">
        <v>1341900.0</v>
      </c>
    </row>
    <row r="30">
      <c r="A30" s="3">
        <v>45901.0</v>
      </c>
      <c r="B30" s="1">
        <v>192.17</v>
      </c>
      <c r="C30" s="1">
        <v>200.98</v>
      </c>
      <c r="D30" s="1">
        <v>191.79</v>
      </c>
      <c r="E30" s="1">
        <v>199.62</v>
      </c>
      <c r="F30" s="2">
        <v>199.62</v>
      </c>
      <c r="G30" s="4">
        <v>1015300.0</v>
      </c>
    </row>
    <row r="31">
      <c r="A31" s="3">
        <v>45894.0</v>
      </c>
      <c r="B31" s="1">
        <v>199.45</v>
      </c>
      <c r="C31" s="1">
        <v>199.99</v>
      </c>
      <c r="D31" s="1">
        <v>194.03</v>
      </c>
      <c r="E31" s="1">
        <v>194.57</v>
      </c>
      <c r="F31" s="2">
        <v>194.57</v>
      </c>
      <c r="G31" s="4">
        <v>1346400.0</v>
      </c>
    </row>
    <row r="32">
      <c r="A32" s="3">
        <v>45887.0</v>
      </c>
      <c r="B32" s="1">
        <v>196.0</v>
      </c>
      <c r="C32" s="1">
        <v>201.8</v>
      </c>
      <c r="D32" s="1">
        <v>195.67</v>
      </c>
      <c r="E32" s="1">
        <v>201.37</v>
      </c>
      <c r="F32" s="2">
        <v>201.37</v>
      </c>
      <c r="G32" s="4">
        <v>1552600.0</v>
      </c>
    </row>
    <row r="33">
      <c r="A33" s="3">
        <v>45880.0</v>
      </c>
      <c r="B33" s="1">
        <v>188.68</v>
      </c>
      <c r="C33" s="1">
        <v>194.8</v>
      </c>
      <c r="D33" s="1">
        <v>187.93</v>
      </c>
      <c r="E33" s="1">
        <v>193.66</v>
      </c>
      <c r="F33" s="2">
        <v>193.66</v>
      </c>
      <c r="G33" s="4">
        <v>1720600.0</v>
      </c>
    </row>
    <row r="34">
      <c r="A34" s="3">
        <v>45873.0</v>
      </c>
      <c r="B34" s="1">
        <v>181.23</v>
      </c>
      <c r="C34" s="1">
        <v>189.23</v>
      </c>
      <c r="D34" s="1">
        <v>180.54</v>
      </c>
      <c r="E34" s="1">
        <v>188.64</v>
      </c>
      <c r="F34" s="2">
        <v>188.64</v>
      </c>
      <c r="G34" s="4">
        <v>1996300.0</v>
      </c>
    </row>
    <row r="35">
      <c r="A35" s="3">
        <v>45866.0</v>
      </c>
      <c r="B35" s="1">
        <v>188.46</v>
      </c>
      <c r="C35" s="1">
        <v>188.46</v>
      </c>
      <c r="D35" s="1">
        <v>177.77</v>
      </c>
      <c r="E35" s="1">
        <v>179.69</v>
      </c>
      <c r="F35" s="2">
        <v>179.69</v>
      </c>
      <c r="G35" s="4">
        <v>2264200.0</v>
      </c>
    </row>
    <row r="36">
      <c r="A36" s="3">
        <v>45859.0</v>
      </c>
      <c r="B36" s="1">
        <v>169.92</v>
      </c>
      <c r="C36" s="1">
        <v>193.26</v>
      </c>
      <c r="D36" s="1">
        <v>169.26</v>
      </c>
      <c r="E36" s="1">
        <v>188.49</v>
      </c>
      <c r="F36" s="2">
        <v>188.49</v>
      </c>
      <c r="G36" s="4">
        <v>3734200.0</v>
      </c>
    </row>
    <row r="37">
      <c r="A37" s="3">
        <v>45852.0</v>
      </c>
      <c r="B37" s="1">
        <v>171.24</v>
      </c>
      <c r="C37" s="1">
        <v>172.32</v>
      </c>
      <c r="D37" s="1">
        <v>168.04</v>
      </c>
      <c r="E37" s="1">
        <v>168.65</v>
      </c>
      <c r="F37" s="2">
        <v>168.65</v>
      </c>
      <c r="G37" s="4">
        <v>1671300.0</v>
      </c>
    </row>
    <row r="38">
      <c r="A38" s="3">
        <v>45845.0</v>
      </c>
      <c r="B38" s="1">
        <v>170.2</v>
      </c>
      <c r="C38" s="1">
        <v>170.91</v>
      </c>
      <c r="D38" s="1">
        <v>167.18</v>
      </c>
      <c r="E38" s="1">
        <v>170.26</v>
      </c>
      <c r="F38" s="2">
        <v>170.26</v>
      </c>
      <c r="G38" s="4">
        <v>2744200.0</v>
      </c>
    </row>
    <row r="39">
      <c r="A39" s="3">
        <v>45838.0</v>
      </c>
      <c r="B39" s="1">
        <v>172.68</v>
      </c>
      <c r="C39" s="1">
        <v>175.25</v>
      </c>
      <c r="D39" s="1">
        <v>170.66</v>
      </c>
      <c r="E39" s="1">
        <v>174.89</v>
      </c>
      <c r="F39" s="2">
        <v>174.89</v>
      </c>
      <c r="G39" s="4">
        <v>2155900.0</v>
      </c>
    </row>
    <row r="40">
      <c r="A40" s="3">
        <v>45831.0</v>
      </c>
      <c r="B40" s="1">
        <v>170.05</v>
      </c>
      <c r="C40" s="1">
        <v>176.72</v>
      </c>
      <c r="D40" s="1">
        <v>169.07</v>
      </c>
      <c r="E40" s="1">
        <v>175.74</v>
      </c>
      <c r="F40" s="2">
        <v>175.74</v>
      </c>
      <c r="G40" s="4">
        <v>2339800.0</v>
      </c>
    </row>
    <row r="41">
      <c r="A41" s="3">
        <v>45824.0</v>
      </c>
      <c r="B41" s="1">
        <v>178.03</v>
      </c>
      <c r="C41" s="1">
        <v>179.34</v>
      </c>
      <c r="D41" s="1">
        <v>171.89</v>
      </c>
      <c r="E41" s="1">
        <v>172.4</v>
      </c>
      <c r="F41" s="2">
        <v>172.4</v>
      </c>
      <c r="G41" s="4">
        <v>1917100.0</v>
      </c>
    </row>
    <row r="42">
      <c r="A42" s="3">
        <v>45817.0</v>
      </c>
      <c r="B42" s="1">
        <v>183.64</v>
      </c>
      <c r="C42" s="1">
        <v>185.33</v>
      </c>
      <c r="D42" s="1">
        <v>178.17</v>
      </c>
      <c r="E42" s="1">
        <v>178.75</v>
      </c>
      <c r="F42" s="2">
        <v>178.75</v>
      </c>
      <c r="G42" s="4">
        <v>1881100.0</v>
      </c>
    </row>
    <row r="43">
      <c r="A43" s="3">
        <v>45810.0</v>
      </c>
      <c r="B43" s="1">
        <v>187.8</v>
      </c>
      <c r="C43" s="1">
        <v>192.45</v>
      </c>
      <c r="D43" s="1">
        <v>183.62</v>
      </c>
      <c r="E43" s="1">
        <v>185.14</v>
      </c>
      <c r="F43" s="2">
        <v>185.14</v>
      </c>
      <c r="G43" s="4">
        <v>2366600.0</v>
      </c>
    </row>
    <row r="44">
      <c r="A44" s="7">
        <v>45803.0</v>
      </c>
      <c r="B44" s="1">
        <v>185.04</v>
      </c>
      <c r="C44" s="1">
        <v>191.3</v>
      </c>
      <c r="D44" s="1">
        <v>182.44</v>
      </c>
      <c r="E44" s="1">
        <v>190.57</v>
      </c>
      <c r="F44" s="2">
        <v>190.57</v>
      </c>
      <c r="G44" s="4">
        <v>1520900.0</v>
      </c>
    </row>
    <row r="45">
      <c r="A45" s="7">
        <v>45796.0</v>
      </c>
      <c r="B45" s="1">
        <v>183.19</v>
      </c>
      <c r="C45" s="1">
        <v>186.7</v>
      </c>
      <c r="D45" s="1">
        <v>180.66</v>
      </c>
      <c r="E45" s="1">
        <v>182.3</v>
      </c>
      <c r="F45" s="2">
        <v>182.3</v>
      </c>
      <c r="G45" s="4">
        <v>1720400.0</v>
      </c>
    </row>
    <row r="46">
      <c r="A46" s="7">
        <v>45789.0</v>
      </c>
      <c r="B46" s="1">
        <v>190.97</v>
      </c>
      <c r="C46" s="1">
        <v>194.33</v>
      </c>
      <c r="D46" s="1">
        <v>181.95</v>
      </c>
      <c r="E46" s="1">
        <v>183.19</v>
      </c>
      <c r="F46" s="2">
        <v>183.19</v>
      </c>
      <c r="G46" s="4">
        <v>2052800.0</v>
      </c>
    </row>
    <row r="47">
      <c r="A47" s="7">
        <v>45782.0</v>
      </c>
      <c r="B47" s="1">
        <v>192.09</v>
      </c>
      <c r="C47" s="1">
        <v>193.88</v>
      </c>
      <c r="D47" s="1">
        <v>185.54</v>
      </c>
      <c r="E47" s="1">
        <v>187.53</v>
      </c>
      <c r="F47" s="2">
        <v>187.53</v>
      </c>
      <c r="G47" s="4">
        <v>1983200.0</v>
      </c>
    </row>
    <row r="48">
      <c r="A48" s="3">
        <v>45775.0</v>
      </c>
      <c r="B48" s="1">
        <v>193.9</v>
      </c>
      <c r="C48" s="1">
        <v>195.78</v>
      </c>
      <c r="D48" s="1">
        <v>188.55</v>
      </c>
      <c r="E48" s="1">
        <v>192.24</v>
      </c>
      <c r="F48" s="2">
        <v>192.24</v>
      </c>
      <c r="G48" s="4">
        <v>1872400.0</v>
      </c>
    </row>
    <row r="49">
      <c r="A49" s="3">
        <v>45768.0</v>
      </c>
      <c r="B49" s="1">
        <v>175.53</v>
      </c>
      <c r="C49" s="1">
        <v>188.46</v>
      </c>
      <c r="D49" s="1">
        <v>172.66</v>
      </c>
      <c r="E49" s="1">
        <v>188.21</v>
      </c>
      <c r="F49" s="2">
        <v>188.21</v>
      </c>
      <c r="G49" s="4">
        <v>1839300.0</v>
      </c>
    </row>
    <row r="50">
      <c r="A50" s="3">
        <v>45761.0</v>
      </c>
      <c r="B50" s="1">
        <v>169.11</v>
      </c>
      <c r="C50" s="1">
        <v>177.82</v>
      </c>
      <c r="D50" s="1">
        <v>168.93</v>
      </c>
      <c r="E50" s="1">
        <v>176.38</v>
      </c>
      <c r="F50" s="2">
        <v>176.38</v>
      </c>
      <c r="G50" s="4">
        <v>1566100.0</v>
      </c>
    </row>
    <row r="51">
      <c r="A51" s="3">
        <v>45754.0</v>
      </c>
      <c r="B51" s="1">
        <v>155.25</v>
      </c>
      <c r="C51" s="1">
        <v>174.48</v>
      </c>
      <c r="D51" s="1">
        <v>155.0</v>
      </c>
      <c r="E51" s="1">
        <v>169.42</v>
      </c>
      <c r="F51" s="2">
        <v>169.42</v>
      </c>
      <c r="G51" s="4">
        <v>4019000.0</v>
      </c>
    </row>
    <row r="52">
      <c r="A52" s="3">
        <v>45747.0</v>
      </c>
      <c r="B52" s="1">
        <v>175.75</v>
      </c>
      <c r="C52" s="1">
        <v>178.3</v>
      </c>
      <c r="D52" s="1">
        <v>156.73</v>
      </c>
      <c r="E52" s="1">
        <v>158.63</v>
      </c>
      <c r="F52" s="2">
        <v>155.57</v>
      </c>
      <c r="G52" s="4">
        <v>2652000.0</v>
      </c>
    </row>
    <row r="53">
      <c r="A53" s="3">
        <v>45740.0</v>
      </c>
      <c r="B53" s="1">
        <v>191.4</v>
      </c>
      <c r="C53" s="1">
        <v>193.5</v>
      </c>
      <c r="D53" s="1">
        <v>177.79</v>
      </c>
      <c r="E53" s="1">
        <v>179.07</v>
      </c>
      <c r="F53" s="2">
        <v>175.61</v>
      </c>
      <c r="G53" s="4">
        <v>1522700.0</v>
      </c>
    </row>
    <row r="54">
      <c r="A54" s="3">
        <v>45733.0</v>
      </c>
      <c r="B54" s="1">
        <v>186.54</v>
      </c>
      <c r="C54" s="1">
        <v>193.72</v>
      </c>
      <c r="D54" s="1">
        <v>186.44</v>
      </c>
      <c r="E54" s="1">
        <v>190.7</v>
      </c>
      <c r="F54" s="2">
        <v>187.02</v>
      </c>
      <c r="G54" s="4">
        <v>1350200.0</v>
      </c>
    </row>
    <row r="55">
      <c r="A55" s="3">
        <v>45726.0</v>
      </c>
      <c r="B55" s="1">
        <v>185.69</v>
      </c>
      <c r="C55" s="1">
        <v>186.88</v>
      </c>
      <c r="D55" s="1">
        <v>182.28</v>
      </c>
      <c r="E55" s="1">
        <v>186.67</v>
      </c>
      <c r="F55" s="2">
        <v>183.07</v>
      </c>
      <c r="G55" s="4">
        <v>1188700.0</v>
      </c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  <row r="941">
      <c r="F941" s="8"/>
    </row>
    <row r="942">
      <c r="F942" s="8"/>
    </row>
    <row r="943">
      <c r="F943" s="8"/>
    </row>
    <row r="944">
      <c r="F944" s="8"/>
    </row>
    <row r="945">
      <c r="F945" s="8"/>
    </row>
    <row r="946">
      <c r="F946" s="8"/>
    </row>
    <row r="947">
      <c r="F947" s="8"/>
    </row>
    <row r="948">
      <c r="F948" s="8"/>
    </row>
    <row r="949">
      <c r="F949" s="8"/>
    </row>
    <row r="950">
      <c r="F950" s="8"/>
    </row>
    <row r="951">
      <c r="F951" s="8"/>
    </row>
    <row r="952">
      <c r="F952" s="8"/>
    </row>
    <row r="953">
      <c r="F953" s="8"/>
    </row>
    <row r="954">
      <c r="F954" s="8"/>
    </row>
    <row r="955">
      <c r="F955" s="8"/>
    </row>
    <row r="956">
      <c r="F956" s="8"/>
    </row>
    <row r="957">
      <c r="F957" s="8"/>
    </row>
    <row r="958">
      <c r="F958" s="8"/>
    </row>
    <row r="959">
      <c r="F959" s="8"/>
    </row>
    <row r="960">
      <c r="F960" s="8"/>
    </row>
    <row r="961">
      <c r="F961" s="8"/>
    </row>
    <row r="962">
      <c r="F962" s="8"/>
    </row>
    <row r="963">
      <c r="F963" s="8"/>
    </row>
    <row r="964">
      <c r="F964" s="8"/>
    </row>
    <row r="965">
      <c r="F965" s="8"/>
    </row>
    <row r="966">
      <c r="F966" s="8"/>
    </row>
    <row r="967">
      <c r="F967" s="8"/>
    </row>
    <row r="968">
      <c r="F968" s="8"/>
    </row>
    <row r="969">
      <c r="F969" s="8"/>
    </row>
    <row r="970">
      <c r="F970" s="8"/>
    </row>
    <row r="971">
      <c r="F971" s="8"/>
    </row>
    <row r="972">
      <c r="F972" s="8"/>
    </row>
    <row r="973">
      <c r="F973" s="8"/>
    </row>
    <row r="974">
      <c r="F974" s="8"/>
    </row>
    <row r="975">
      <c r="F975" s="8"/>
    </row>
    <row r="976">
      <c r="F976" s="8"/>
    </row>
    <row r="977">
      <c r="F977" s="8"/>
    </row>
    <row r="978">
      <c r="F978" s="8"/>
    </row>
    <row r="979">
      <c r="F979" s="8"/>
    </row>
    <row r="980">
      <c r="F980" s="8"/>
    </row>
    <row r="981">
      <c r="F981" s="8"/>
    </row>
    <row r="982">
      <c r="F982" s="8"/>
    </row>
    <row r="983">
      <c r="F983" s="8"/>
    </row>
    <row r="984">
      <c r="F984" s="8"/>
    </row>
    <row r="985">
      <c r="F985" s="8"/>
    </row>
    <row r="986">
      <c r="F986" s="8"/>
    </row>
    <row r="987">
      <c r="F987" s="8"/>
    </row>
    <row r="988">
      <c r="F988" s="8"/>
    </row>
    <row r="989">
      <c r="F989" s="8"/>
    </row>
    <row r="990">
      <c r="F990" s="8"/>
    </row>
    <row r="991">
      <c r="F991" s="8"/>
    </row>
    <row r="992">
      <c r="F992" s="8"/>
    </row>
    <row r="993">
      <c r="F993" s="8"/>
    </row>
    <row r="994">
      <c r="F994" s="8"/>
    </row>
    <row r="995">
      <c r="F995" s="8"/>
    </row>
    <row r="996">
      <c r="F996" s="8"/>
    </row>
    <row r="997">
      <c r="F997" s="8"/>
    </row>
  </sheetData>
  <hyperlinks>
    <hyperlink r:id="rId1" ref="I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>
      <c r="A2" s="3">
        <v>46092.0</v>
      </c>
      <c r="B2" s="1">
        <v>90.06</v>
      </c>
      <c r="C2" s="1">
        <v>92.1</v>
      </c>
      <c r="D2" s="1">
        <v>89.96</v>
      </c>
      <c r="E2" s="1">
        <v>90.66</v>
      </c>
      <c r="F2" s="2">
        <v>90.66</v>
      </c>
      <c r="G2" s="4">
        <v>411024.0</v>
      </c>
      <c r="I2" s="5" t="s">
        <v>7</v>
      </c>
    </row>
    <row r="3">
      <c r="A3" s="3">
        <v>46090.0</v>
      </c>
      <c r="B3" s="1">
        <v>90.0</v>
      </c>
      <c r="C3" s="1">
        <v>91.6</v>
      </c>
      <c r="D3" s="1">
        <v>87.6</v>
      </c>
      <c r="E3" s="1">
        <v>90.3</v>
      </c>
      <c r="F3" s="2">
        <v>90.3</v>
      </c>
      <c r="G3" s="4">
        <v>2952318.0</v>
      </c>
    </row>
    <row r="4">
      <c r="A4" s="3">
        <v>46083.0</v>
      </c>
      <c r="B4" s="1">
        <v>98.5</v>
      </c>
      <c r="C4" s="1">
        <v>98.56</v>
      </c>
      <c r="D4" s="1">
        <v>89.54</v>
      </c>
      <c r="E4" s="1">
        <v>89.98</v>
      </c>
      <c r="F4" s="2">
        <v>89.98</v>
      </c>
      <c r="G4" s="4">
        <v>6448205.0</v>
      </c>
    </row>
    <row r="5">
      <c r="A5" s="3">
        <v>46076.0</v>
      </c>
      <c r="B5" s="1">
        <v>102.85</v>
      </c>
      <c r="C5" s="1">
        <v>102.85</v>
      </c>
      <c r="D5" s="1">
        <v>99.82</v>
      </c>
      <c r="E5" s="1">
        <v>101.2</v>
      </c>
      <c r="F5" s="2">
        <v>101.2</v>
      </c>
      <c r="G5" s="4">
        <v>3642827.0</v>
      </c>
      <c r="I5" s="6" t="s">
        <v>9</v>
      </c>
    </row>
    <row r="6">
      <c r="A6" s="3">
        <v>46069.0</v>
      </c>
      <c r="B6" s="1">
        <v>103.0</v>
      </c>
      <c r="C6" s="1">
        <v>105.0</v>
      </c>
      <c r="D6" s="1">
        <v>101.0</v>
      </c>
      <c r="E6" s="1">
        <v>102.5</v>
      </c>
      <c r="F6" s="2">
        <v>102.5</v>
      </c>
      <c r="G6" s="4">
        <v>3762112.0</v>
      </c>
    </row>
    <row r="7">
      <c r="A7" s="3">
        <v>46062.0</v>
      </c>
      <c r="B7" s="1">
        <v>100.85</v>
      </c>
      <c r="C7" s="1">
        <v>104.85</v>
      </c>
      <c r="D7" s="1">
        <v>100.8</v>
      </c>
      <c r="E7" s="1">
        <v>103.1</v>
      </c>
      <c r="F7" s="2">
        <v>103.1</v>
      </c>
      <c r="G7" s="4">
        <v>3544713.0</v>
      </c>
    </row>
    <row r="8">
      <c r="A8" s="3">
        <v>46055.0</v>
      </c>
      <c r="B8" s="1">
        <v>101.8</v>
      </c>
      <c r="C8" s="1">
        <v>106.3</v>
      </c>
      <c r="D8" s="1">
        <v>99.04</v>
      </c>
      <c r="E8" s="1">
        <v>100.75</v>
      </c>
      <c r="F8" s="2">
        <v>100.75</v>
      </c>
      <c r="G8" s="4">
        <v>4489633.0</v>
      </c>
    </row>
    <row r="9">
      <c r="A9" s="3">
        <v>46048.0</v>
      </c>
      <c r="B9" s="1">
        <v>104.9</v>
      </c>
      <c r="C9" s="1">
        <v>105.45</v>
      </c>
      <c r="D9" s="1">
        <v>101.2</v>
      </c>
      <c r="E9" s="1">
        <v>102.65</v>
      </c>
      <c r="F9" s="2">
        <v>102.65</v>
      </c>
      <c r="G9" s="4">
        <v>3391439.0</v>
      </c>
    </row>
    <row r="10">
      <c r="A10" s="3">
        <v>46041.0</v>
      </c>
      <c r="B10" s="1">
        <v>97.5</v>
      </c>
      <c r="C10" s="1">
        <v>106.15</v>
      </c>
      <c r="D10" s="1">
        <v>95.9</v>
      </c>
      <c r="E10" s="1">
        <v>105.5</v>
      </c>
      <c r="F10" s="2">
        <v>105.5</v>
      </c>
      <c r="G10" s="4">
        <v>5766886.0</v>
      </c>
    </row>
    <row r="11">
      <c r="A11" s="3">
        <v>46034.0</v>
      </c>
      <c r="B11" s="1">
        <v>103.9</v>
      </c>
      <c r="C11" s="1">
        <v>104.7</v>
      </c>
      <c r="D11" s="1">
        <v>100.45</v>
      </c>
      <c r="E11" s="1">
        <v>101.4</v>
      </c>
      <c r="F11" s="2">
        <v>101.4</v>
      </c>
      <c r="G11" s="4">
        <v>4379027.0</v>
      </c>
    </row>
    <row r="12">
      <c r="A12" s="3">
        <v>46027.0</v>
      </c>
      <c r="B12" s="1">
        <v>106.2</v>
      </c>
      <c r="C12" s="1">
        <v>106.6</v>
      </c>
      <c r="D12" s="1">
        <v>99.86</v>
      </c>
      <c r="E12" s="1">
        <v>103.85</v>
      </c>
      <c r="F12" s="2">
        <v>103.85</v>
      </c>
      <c r="G12" s="4">
        <v>3882188.0</v>
      </c>
    </row>
    <row r="13">
      <c r="A13" s="3">
        <v>46020.0</v>
      </c>
      <c r="B13" s="1">
        <v>103.4</v>
      </c>
      <c r="C13" s="1">
        <v>106.45</v>
      </c>
      <c r="D13" s="1">
        <v>102.4</v>
      </c>
      <c r="E13" s="1">
        <v>106.45</v>
      </c>
      <c r="F13" s="2">
        <v>106.45</v>
      </c>
      <c r="G13" s="4">
        <v>1713626.0</v>
      </c>
    </row>
    <row r="14">
      <c r="A14" s="3">
        <v>46013.0</v>
      </c>
      <c r="B14" s="1">
        <v>104.3</v>
      </c>
      <c r="C14" s="1">
        <v>104.9</v>
      </c>
      <c r="D14" s="1">
        <v>103.1</v>
      </c>
      <c r="E14" s="1">
        <v>103.75</v>
      </c>
      <c r="F14" s="2">
        <v>103.75</v>
      </c>
      <c r="G14" s="4">
        <v>835125.0</v>
      </c>
    </row>
    <row r="15">
      <c r="A15" s="3">
        <v>46006.0</v>
      </c>
      <c r="B15" s="1">
        <v>108.6</v>
      </c>
      <c r="C15" s="1">
        <v>108.65</v>
      </c>
      <c r="D15" s="1">
        <v>103.85</v>
      </c>
      <c r="E15" s="1">
        <v>104.05</v>
      </c>
      <c r="F15" s="2">
        <v>104.05</v>
      </c>
      <c r="G15" s="4">
        <v>2150101.0</v>
      </c>
    </row>
    <row r="16">
      <c r="A16" s="3">
        <v>45999.0</v>
      </c>
      <c r="B16" s="1">
        <v>106.9</v>
      </c>
      <c r="C16" s="1">
        <v>108.9</v>
      </c>
      <c r="D16" s="1">
        <v>105.95</v>
      </c>
      <c r="E16" s="1">
        <v>108.6</v>
      </c>
      <c r="F16" s="2">
        <v>108.6</v>
      </c>
      <c r="G16" s="4">
        <v>2844891.0</v>
      </c>
    </row>
    <row r="17">
      <c r="A17" s="3">
        <v>45992.0</v>
      </c>
      <c r="B17" s="1">
        <v>98.14</v>
      </c>
      <c r="C17" s="1">
        <v>107.3</v>
      </c>
      <c r="D17" s="1">
        <v>98.02</v>
      </c>
      <c r="E17" s="1">
        <v>106.9</v>
      </c>
      <c r="F17" s="2">
        <v>106.9</v>
      </c>
      <c r="G17" s="4">
        <v>6247158.0</v>
      </c>
    </row>
    <row r="18">
      <c r="A18" s="3">
        <v>45985.0</v>
      </c>
      <c r="B18" s="1">
        <v>95.3</v>
      </c>
      <c r="C18" s="1">
        <v>98.52</v>
      </c>
      <c r="D18" s="1">
        <v>94.56</v>
      </c>
      <c r="E18" s="1">
        <v>98.38</v>
      </c>
      <c r="F18" s="2">
        <v>98.38</v>
      </c>
      <c r="G18" s="4">
        <v>2868068.0</v>
      </c>
    </row>
    <row r="19">
      <c r="A19" s="3">
        <v>45978.0</v>
      </c>
      <c r="B19" s="1">
        <v>97.2</v>
      </c>
      <c r="C19" s="1">
        <v>98.18</v>
      </c>
      <c r="D19" s="1">
        <v>92.1</v>
      </c>
      <c r="E19" s="1">
        <v>94.72</v>
      </c>
      <c r="F19" s="2">
        <v>94.72</v>
      </c>
      <c r="G19" s="4">
        <v>3620931.0</v>
      </c>
    </row>
    <row r="20">
      <c r="A20" s="3">
        <v>45971.0</v>
      </c>
      <c r="B20" s="1">
        <v>95.4</v>
      </c>
      <c r="C20" s="1">
        <v>100.1</v>
      </c>
      <c r="D20" s="1">
        <v>94.98</v>
      </c>
      <c r="E20" s="1">
        <v>97.66</v>
      </c>
      <c r="F20" s="2">
        <v>97.66</v>
      </c>
      <c r="G20" s="4">
        <v>4471468.0</v>
      </c>
    </row>
    <row r="21">
      <c r="A21" s="3">
        <v>45964.0</v>
      </c>
      <c r="B21" s="1">
        <v>90.28</v>
      </c>
      <c r="C21" s="1">
        <v>94.14</v>
      </c>
      <c r="D21" s="1">
        <v>89.9</v>
      </c>
      <c r="E21" s="1">
        <v>92.82</v>
      </c>
      <c r="F21" s="2">
        <v>92.82</v>
      </c>
      <c r="G21" s="4">
        <v>3124562.0</v>
      </c>
    </row>
    <row r="22">
      <c r="A22" s="3">
        <v>45957.0</v>
      </c>
      <c r="B22" s="1">
        <v>91.0</v>
      </c>
      <c r="C22" s="1">
        <v>94.1</v>
      </c>
      <c r="D22" s="1">
        <v>89.82</v>
      </c>
      <c r="E22" s="1">
        <v>90.22</v>
      </c>
      <c r="F22" s="2">
        <v>90.22</v>
      </c>
      <c r="G22" s="4">
        <v>4687990.0</v>
      </c>
    </row>
    <row r="23">
      <c r="A23" s="3">
        <v>45950.0</v>
      </c>
      <c r="B23" s="1">
        <v>91.0</v>
      </c>
      <c r="C23" s="1">
        <v>91.88</v>
      </c>
      <c r="D23" s="1">
        <v>88.46</v>
      </c>
      <c r="E23" s="1">
        <v>90.52</v>
      </c>
      <c r="F23" s="2">
        <v>90.52</v>
      </c>
      <c r="G23" s="4">
        <v>4522794.0</v>
      </c>
    </row>
    <row r="24">
      <c r="A24" s="3">
        <v>45943.0</v>
      </c>
      <c r="B24" s="1">
        <v>90.02</v>
      </c>
      <c r="C24" s="1">
        <v>91.66</v>
      </c>
      <c r="D24" s="1">
        <v>88.52</v>
      </c>
      <c r="E24" s="1">
        <v>91.2</v>
      </c>
      <c r="F24" s="2">
        <v>91.2</v>
      </c>
      <c r="G24" s="4">
        <v>4402349.0</v>
      </c>
    </row>
    <row r="25">
      <c r="A25" s="3">
        <v>45936.0</v>
      </c>
      <c r="B25" s="1">
        <v>93.5</v>
      </c>
      <c r="C25" s="1">
        <v>94.56</v>
      </c>
      <c r="D25" s="1">
        <v>88.34</v>
      </c>
      <c r="E25" s="1">
        <v>89.16</v>
      </c>
      <c r="F25" s="2">
        <v>89.16</v>
      </c>
      <c r="G25" s="4">
        <v>3824627.0</v>
      </c>
    </row>
    <row r="26">
      <c r="A26" s="3">
        <v>45929.0</v>
      </c>
      <c r="B26" s="1">
        <v>91.12</v>
      </c>
      <c r="C26" s="1">
        <v>94.42</v>
      </c>
      <c r="D26" s="1">
        <v>90.7</v>
      </c>
      <c r="E26" s="1">
        <v>93.28</v>
      </c>
      <c r="F26" s="2">
        <v>93.28</v>
      </c>
      <c r="G26" s="4">
        <v>2783741.0</v>
      </c>
    </row>
    <row r="27">
      <c r="A27" s="3">
        <v>45922.0</v>
      </c>
      <c r="B27" s="1">
        <v>97.28</v>
      </c>
      <c r="C27" s="1">
        <v>97.28</v>
      </c>
      <c r="D27" s="1">
        <v>90.42</v>
      </c>
      <c r="E27" s="1">
        <v>90.62</v>
      </c>
      <c r="F27" s="2">
        <v>90.62</v>
      </c>
      <c r="G27" s="4">
        <v>5598267.0</v>
      </c>
    </row>
    <row r="28">
      <c r="A28" s="3">
        <v>45915.0</v>
      </c>
      <c r="B28" s="1">
        <v>102.4</v>
      </c>
      <c r="C28" s="1">
        <v>102.7</v>
      </c>
      <c r="D28" s="1">
        <v>96.76</v>
      </c>
      <c r="E28" s="1">
        <v>97.28</v>
      </c>
      <c r="F28" s="2">
        <v>97.28</v>
      </c>
      <c r="G28" s="4">
        <v>4677113.0</v>
      </c>
    </row>
    <row r="29">
      <c r="A29" s="3">
        <v>45908.0</v>
      </c>
      <c r="B29" s="1">
        <v>100.05</v>
      </c>
      <c r="C29" s="1">
        <v>103.85</v>
      </c>
      <c r="D29" s="1">
        <v>99.98</v>
      </c>
      <c r="E29" s="1">
        <v>102.0</v>
      </c>
      <c r="F29" s="2">
        <v>102.0</v>
      </c>
      <c r="G29" s="4">
        <v>4352279.0</v>
      </c>
    </row>
    <row r="30">
      <c r="A30" s="3">
        <v>45901.0</v>
      </c>
      <c r="B30" s="1">
        <v>99.82</v>
      </c>
      <c r="C30" s="1">
        <v>101.05</v>
      </c>
      <c r="D30" s="1">
        <v>98.1</v>
      </c>
      <c r="E30" s="1">
        <v>99.92</v>
      </c>
      <c r="F30" s="2">
        <v>99.92</v>
      </c>
      <c r="G30" s="4">
        <v>3541956.0</v>
      </c>
    </row>
    <row r="31">
      <c r="A31" s="3">
        <v>45894.0</v>
      </c>
      <c r="B31" s="1">
        <v>102.2</v>
      </c>
      <c r="C31" s="1">
        <v>102.75</v>
      </c>
      <c r="D31" s="1">
        <v>100.0</v>
      </c>
      <c r="E31" s="1">
        <v>100.25</v>
      </c>
      <c r="F31" s="2">
        <v>100.25</v>
      </c>
      <c r="G31" s="4">
        <v>3137777.0</v>
      </c>
    </row>
    <row r="32">
      <c r="A32" s="3">
        <v>45887.0</v>
      </c>
      <c r="B32" s="1">
        <v>99.0</v>
      </c>
      <c r="C32" s="1">
        <v>102.8</v>
      </c>
      <c r="D32" s="1">
        <v>97.98</v>
      </c>
      <c r="E32" s="1">
        <v>102.4</v>
      </c>
      <c r="F32" s="2">
        <v>102.4</v>
      </c>
      <c r="G32" s="4">
        <v>4475268.0</v>
      </c>
    </row>
    <row r="33">
      <c r="A33" s="3">
        <v>45880.0</v>
      </c>
      <c r="B33" s="1">
        <v>96.0</v>
      </c>
      <c r="C33" s="1">
        <v>100.45</v>
      </c>
      <c r="D33" s="1">
        <v>95.9</v>
      </c>
      <c r="E33" s="1">
        <v>99.42</v>
      </c>
      <c r="F33" s="2">
        <v>99.42</v>
      </c>
      <c r="G33" s="4">
        <v>4300573.0</v>
      </c>
    </row>
    <row r="34">
      <c r="A34" s="3">
        <v>45873.0</v>
      </c>
      <c r="B34" s="1">
        <v>89.62</v>
      </c>
      <c r="C34" s="1">
        <v>95.74</v>
      </c>
      <c r="D34" s="1">
        <v>88.26</v>
      </c>
      <c r="E34" s="1">
        <v>95.38</v>
      </c>
      <c r="F34" s="2">
        <v>95.38</v>
      </c>
      <c r="G34" s="4">
        <v>4470390.0</v>
      </c>
    </row>
    <row r="35">
      <c r="A35" s="3">
        <v>45866.0</v>
      </c>
      <c r="B35" s="1">
        <v>102.2</v>
      </c>
      <c r="C35" s="1">
        <v>103.2</v>
      </c>
      <c r="D35" s="1">
        <v>88.96</v>
      </c>
      <c r="E35" s="1">
        <v>89.16</v>
      </c>
      <c r="F35" s="2">
        <v>89.16</v>
      </c>
      <c r="G35" s="4">
        <v>6899139.0</v>
      </c>
    </row>
    <row r="36">
      <c r="A36" s="3">
        <v>45859.0</v>
      </c>
      <c r="B36" s="1">
        <v>89.86</v>
      </c>
      <c r="C36" s="1">
        <v>100.35</v>
      </c>
      <c r="D36" s="1">
        <v>89.36</v>
      </c>
      <c r="E36" s="1">
        <v>100.35</v>
      </c>
      <c r="F36" s="2">
        <v>100.35</v>
      </c>
      <c r="G36" s="4">
        <v>9541345.0</v>
      </c>
    </row>
    <row r="37">
      <c r="A37" s="3">
        <v>45852.0</v>
      </c>
      <c r="B37" s="1">
        <v>92.3</v>
      </c>
      <c r="C37" s="1">
        <v>93.8</v>
      </c>
      <c r="D37" s="1">
        <v>90.02</v>
      </c>
      <c r="E37" s="1">
        <v>90.32</v>
      </c>
      <c r="F37" s="2">
        <v>90.32</v>
      </c>
      <c r="G37" s="4">
        <v>3271891.0</v>
      </c>
    </row>
    <row r="38">
      <c r="A38" s="3">
        <v>45845.0</v>
      </c>
      <c r="B38" s="1">
        <v>89.8</v>
      </c>
      <c r="C38" s="1">
        <v>94.42</v>
      </c>
      <c r="D38" s="1">
        <v>89.3</v>
      </c>
      <c r="E38" s="1">
        <v>93.98</v>
      </c>
      <c r="F38" s="2">
        <v>93.98</v>
      </c>
      <c r="G38" s="4">
        <v>3895415.0</v>
      </c>
    </row>
    <row r="39">
      <c r="A39" s="3">
        <v>45838.0</v>
      </c>
      <c r="B39" s="1">
        <v>91.56</v>
      </c>
      <c r="C39" s="1">
        <v>92.38</v>
      </c>
      <c r="D39" s="1">
        <v>87.9</v>
      </c>
      <c r="E39" s="1">
        <v>90.02</v>
      </c>
      <c r="F39" s="2">
        <v>90.02</v>
      </c>
      <c r="G39" s="4">
        <v>3796634.0</v>
      </c>
    </row>
    <row r="40">
      <c r="A40" s="3">
        <v>45831.0</v>
      </c>
      <c r="B40" s="1">
        <v>86.7</v>
      </c>
      <c r="C40" s="1">
        <v>92.0</v>
      </c>
      <c r="D40" s="1">
        <v>86.24</v>
      </c>
      <c r="E40" s="1">
        <v>91.34</v>
      </c>
      <c r="F40" s="2">
        <v>91.34</v>
      </c>
      <c r="G40" s="4">
        <v>5135110.0</v>
      </c>
    </row>
    <row r="41">
      <c r="A41" s="3">
        <v>45824.0</v>
      </c>
      <c r="B41" s="1">
        <v>89.0</v>
      </c>
      <c r="C41" s="1">
        <v>89.98</v>
      </c>
      <c r="D41" s="1">
        <v>86.3</v>
      </c>
      <c r="E41" s="1">
        <v>87.3</v>
      </c>
      <c r="F41" s="2">
        <v>87.3</v>
      </c>
      <c r="G41" s="4">
        <v>4826917.0</v>
      </c>
    </row>
    <row r="42">
      <c r="A42" s="3">
        <v>45817.0</v>
      </c>
      <c r="B42" s="1">
        <v>91.4</v>
      </c>
      <c r="C42" s="1">
        <v>93.48</v>
      </c>
      <c r="D42" s="1">
        <v>88.34</v>
      </c>
      <c r="E42" s="1">
        <v>88.84</v>
      </c>
      <c r="F42" s="2">
        <v>88.84</v>
      </c>
      <c r="G42" s="4">
        <v>4093284.0</v>
      </c>
    </row>
    <row r="43">
      <c r="A43" s="3">
        <v>45810.0</v>
      </c>
      <c r="B43" s="1">
        <v>94.8</v>
      </c>
      <c r="C43" s="1">
        <v>94.8</v>
      </c>
      <c r="D43" s="1">
        <v>91.26</v>
      </c>
      <c r="E43" s="1">
        <v>91.64</v>
      </c>
      <c r="F43" s="2">
        <v>91.64</v>
      </c>
      <c r="G43" s="4">
        <v>3882155.0</v>
      </c>
    </row>
    <row r="44">
      <c r="A44" s="7">
        <v>45803.0</v>
      </c>
      <c r="B44" s="1">
        <v>95.34</v>
      </c>
      <c r="C44" s="1">
        <v>98.6</v>
      </c>
      <c r="D44" s="1">
        <v>94.46</v>
      </c>
      <c r="E44" s="1">
        <v>95.36</v>
      </c>
      <c r="F44" s="2">
        <v>95.36</v>
      </c>
      <c r="G44" s="4">
        <v>5043408.0</v>
      </c>
    </row>
    <row r="45">
      <c r="A45" s="7">
        <v>45796.0</v>
      </c>
      <c r="B45" s="1">
        <v>97.0</v>
      </c>
      <c r="C45" s="1">
        <v>98.7</v>
      </c>
      <c r="D45" s="1">
        <v>92.52</v>
      </c>
      <c r="E45" s="1">
        <v>93.5</v>
      </c>
      <c r="F45" s="2">
        <v>87.72</v>
      </c>
      <c r="G45" s="4">
        <v>5530841.0</v>
      </c>
    </row>
    <row r="46">
      <c r="A46" s="7">
        <v>45789.0</v>
      </c>
      <c r="B46" s="1">
        <v>101.4</v>
      </c>
      <c r="C46" s="1">
        <v>104.95</v>
      </c>
      <c r="D46" s="1">
        <v>100.65</v>
      </c>
      <c r="E46" s="1">
        <v>102.85</v>
      </c>
      <c r="F46" s="2">
        <v>96.49</v>
      </c>
      <c r="G46" s="4">
        <v>5225460.0</v>
      </c>
    </row>
    <row r="47">
      <c r="A47" s="7">
        <v>45782.0</v>
      </c>
      <c r="B47" s="1">
        <v>96.76</v>
      </c>
      <c r="C47" s="1">
        <v>100.6</v>
      </c>
      <c r="D47" s="1">
        <v>94.24</v>
      </c>
      <c r="E47" s="1">
        <v>99.82</v>
      </c>
      <c r="F47" s="2">
        <v>93.65</v>
      </c>
      <c r="G47" s="4">
        <v>5056708.0</v>
      </c>
    </row>
    <row r="48">
      <c r="A48" s="3">
        <v>45775.0</v>
      </c>
      <c r="B48" s="1">
        <v>98.52</v>
      </c>
      <c r="C48" s="1">
        <v>99.56</v>
      </c>
      <c r="D48" s="1">
        <v>95.44</v>
      </c>
      <c r="E48" s="1">
        <v>96.52</v>
      </c>
      <c r="F48" s="2">
        <v>90.55</v>
      </c>
      <c r="G48" s="4">
        <v>3410874.0</v>
      </c>
    </row>
    <row r="49">
      <c r="A49" s="3">
        <v>45768.0</v>
      </c>
      <c r="B49" s="1">
        <v>89.54</v>
      </c>
      <c r="C49" s="1">
        <v>98.2</v>
      </c>
      <c r="D49" s="1">
        <v>89.54</v>
      </c>
      <c r="E49" s="1">
        <v>97.76</v>
      </c>
      <c r="F49" s="2">
        <v>91.71</v>
      </c>
      <c r="G49" s="4">
        <v>4679531.0</v>
      </c>
    </row>
    <row r="50">
      <c r="A50" s="3">
        <v>45761.0</v>
      </c>
      <c r="B50" s="1">
        <v>87.32</v>
      </c>
      <c r="C50" s="1">
        <v>90.9</v>
      </c>
      <c r="D50" s="1">
        <v>86.38</v>
      </c>
      <c r="E50" s="1">
        <v>89.54</v>
      </c>
      <c r="F50" s="2">
        <v>84.0</v>
      </c>
      <c r="G50" s="4">
        <v>3162776.0</v>
      </c>
    </row>
    <row r="51">
      <c r="A51" s="3">
        <v>45754.0</v>
      </c>
      <c r="B51" s="1">
        <v>83.1</v>
      </c>
      <c r="C51" s="1">
        <v>91.9</v>
      </c>
      <c r="D51" s="1">
        <v>81.68</v>
      </c>
      <c r="E51" s="1">
        <v>85.36</v>
      </c>
      <c r="F51" s="2">
        <v>80.08</v>
      </c>
      <c r="G51" s="4">
        <v>1.1519286E7</v>
      </c>
    </row>
    <row r="52">
      <c r="A52" s="3">
        <v>45747.0</v>
      </c>
      <c r="B52" s="1">
        <v>95.94</v>
      </c>
      <c r="C52" s="1">
        <v>95.94</v>
      </c>
      <c r="D52" s="1">
        <v>84.48</v>
      </c>
      <c r="E52" s="1">
        <v>87.5</v>
      </c>
      <c r="F52" s="2">
        <v>82.09</v>
      </c>
      <c r="G52" s="4">
        <v>7716874.0</v>
      </c>
    </row>
    <row r="53">
      <c r="A53" s="3">
        <v>45740.0</v>
      </c>
      <c r="B53" s="1">
        <v>101.45</v>
      </c>
      <c r="C53" s="1">
        <v>103.35</v>
      </c>
      <c r="D53" s="1">
        <v>96.5</v>
      </c>
      <c r="E53" s="1">
        <v>96.96</v>
      </c>
      <c r="F53" s="2">
        <v>90.96</v>
      </c>
      <c r="G53" s="4">
        <v>4356982.0</v>
      </c>
    </row>
    <row r="54">
      <c r="A54" s="3">
        <v>45733.0</v>
      </c>
      <c r="B54" s="1">
        <v>108.25</v>
      </c>
      <c r="C54" s="1">
        <v>110.55</v>
      </c>
      <c r="D54" s="1">
        <v>100.05</v>
      </c>
      <c r="E54" s="1">
        <v>101.45</v>
      </c>
      <c r="F54" s="2">
        <v>95.18</v>
      </c>
      <c r="G54" s="4">
        <v>8405433.0</v>
      </c>
    </row>
    <row r="55">
      <c r="A55" s="3">
        <v>45726.0</v>
      </c>
      <c r="B55" s="1">
        <v>110.0</v>
      </c>
      <c r="C55" s="1">
        <v>114.2</v>
      </c>
      <c r="D55" s="1">
        <v>105.8</v>
      </c>
      <c r="E55" s="1">
        <v>107.65</v>
      </c>
      <c r="F55" s="2">
        <v>100.99</v>
      </c>
      <c r="G55" s="4">
        <v>7165483.0</v>
      </c>
    </row>
    <row r="56">
      <c r="F56" s="8"/>
    </row>
    <row r="57">
      <c r="F57" s="8"/>
    </row>
    <row r="58">
      <c r="F58" s="8"/>
    </row>
    <row r="59">
      <c r="F59" s="8"/>
    </row>
    <row r="60">
      <c r="F60" s="8"/>
    </row>
    <row r="61">
      <c r="F61" s="8"/>
    </row>
    <row r="62">
      <c r="F62" s="8"/>
    </row>
    <row r="63">
      <c r="F63" s="8"/>
    </row>
    <row r="64">
      <c r="F64" s="8"/>
    </row>
    <row r="65">
      <c r="F65" s="8"/>
    </row>
    <row r="66">
      <c r="F66" s="8"/>
    </row>
    <row r="67">
      <c r="F67" s="8"/>
    </row>
    <row r="68">
      <c r="F68" s="8"/>
    </row>
    <row r="69">
      <c r="F69" s="8"/>
    </row>
    <row r="70">
      <c r="F70" s="8"/>
    </row>
    <row r="71">
      <c r="F71" s="8"/>
    </row>
    <row r="72">
      <c r="F72" s="8"/>
    </row>
    <row r="73">
      <c r="F73" s="8"/>
    </row>
    <row r="74">
      <c r="F74" s="8"/>
    </row>
    <row r="75">
      <c r="F75" s="8"/>
    </row>
    <row r="76">
      <c r="F76" s="8"/>
    </row>
    <row r="77">
      <c r="F77" s="8"/>
    </row>
    <row r="78">
      <c r="F78" s="8"/>
    </row>
    <row r="79">
      <c r="F79" s="8"/>
    </row>
    <row r="80">
      <c r="F80" s="8"/>
    </row>
    <row r="81">
      <c r="F81" s="8"/>
    </row>
    <row r="82">
      <c r="F82" s="8"/>
    </row>
    <row r="83">
      <c r="F83" s="8"/>
    </row>
    <row r="84">
      <c r="F84" s="8"/>
    </row>
    <row r="85">
      <c r="F85" s="8"/>
    </row>
    <row r="86">
      <c r="F86" s="8"/>
    </row>
    <row r="87">
      <c r="F87" s="8"/>
    </row>
    <row r="88">
      <c r="F88" s="8"/>
    </row>
    <row r="89">
      <c r="F89" s="8"/>
    </row>
    <row r="90">
      <c r="F90" s="8"/>
    </row>
    <row r="91">
      <c r="F91" s="8"/>
    </row>
    <row r="92">
      <c r="F92" s="8"/>
    </row>
    <row r="93">
      <c r="F93" s="8"/>
    </row>
    <row r="94">
      <c r="F94" s="8"/>
    </row>
    <row r="95">
      <c r="F95" s="8"/>
    </row>
    <row r="96">
      <c r="F96" s="8"/>
    </row>
    <row r="97">
      <c r="F97" s="8"/>
    </row>
    <row r="98">
      <c r="F98" s="8"/>
    </row>
    <row r="99">
      <c r="F99" s="8"/>
    </row>
    <row r="100">
      <c r="F100" s="8"/>
    </row>
    <row r="101">
      <c r="F101" s="8"/>
    </row>
    <row r="102">
      <c r="F102" s="8"/>
    </row>
    <row r="103">
      <c r="F103" s="8"/>
    </row>
    <row r="104">
      <c r="F104" s="8"/>
    </row>
    <row r="105">
      <c r="F105" s="8"/>
    </row>
    <row r="106">
      <c r="F106" s="8"/>
    </row>
    <row r="107">
      <c r="F107" s="8"/>
    </row>
    <row r="108">
      <c r="F108" s="8"/>
    </row>
    <row r="109">
      <c r="F109" s="8"/>
    </row>
    <row r="110">
      <c r="F110" s="8"/>
    </row>
    <row r="111">
      <c r="F111" s="8"/>
    </row>
    <row r="112">
      <c r="F112" s="8"/>
    </row>
    <row r="113">
      <c r="F113" s="8"/>
    </row>
    <row r="114">
      <c r="F114" s="8"/>
    </row>
    <row r="115">
      <c r="F115" s="8"/>
    </row>
    <row r="116">
      <c r="F116" s="8"/>
    </row>
    <row r="117">
      <c r="F117" s="8"/>
    </row>
    <row r="118">
      <c r="F118" s="8"/>
    </row>
    <row r="119">
      <c r="F119" s="8"/>
    </row>
    <row r="120">
      <c r="F120" s="8"/>
    </row>
    <row r="121">
      <c r="F121" s="8"/>
    </row>
    <row r="122">
      <c r="F122" s="8"/>
    </row>
    <row r="123">
      <c r="F123" s="8"/>
    </row>
    <row r="124">
      <c r="F124" s="8"/>
    </row>
    <row r="125">
      <c r="F125" s="8"/>
    </row>
    <row r="126">
      <c r="F126" s="8"/>
    </row>
    <row r="127">
      <c r="F127" s="8"/>
    </row>
    <row r="128">
      <c r="F128" s="8"/>
    </row>
    <row r="129">
      <c r="F129" s="8"/>
    </row>
    <row r="130">
      <c r="F130" s="8"/>
    </row>
    <row r="131">
      <c r="F131" s="8"/>
    </row>
    <row r="132">
      <c r="F132" s="8"/>
    </row>
    <row r="133">
      <c r="F133" s="8"/>
    </row>
    <row r="134">
      <c r="F134" s="8"/>
    </row>
    <row r="135">
      <c r="F135" s="8"/>
    </row>
    <row r="136">
      <c r="F136" s="8"/>
    </row>
    <row r="137">
      <c r="F137" s="8"/>
    </row>
    <row r="138">
      <c r="F138" s="8"/>
    </row>
    <row r="139">
      <c r="F139" s="8"/>
    </row>
    <row r="140">
      <c r="F140" s="8"/>
    </row>
    <row r="141">
      <c r="F141" s="8"/>
    </row>
    <row r="142">
      <c r="F142" s="8"/>
    </row>
    <row r="143">
      <c r="F143" s="8"/>
    </row>
    <row r="144">
      <c r="F144" s="8"/>
    </row>
    <row r="145">
      <c r="F145" s="8"/>
    </row>
    <row r="146">
      <c r="F146" s="8"/>
    </row>
    <row r="147">
      <c r="F147" s="8"/>
    </row>
    <row r="148">
      <c r="F148" s="8"/>
    </row>
    <row r="149">
      <c r="F149" s="8"/>
    </row>
    <row r="150">
      <c r="F150" s="8"/>
    </row>
    <row r="151">
      <c r="F151" s="8"/>
    </row>
    <row r="152">
      <c r="F152" s="8"/>
    </row>
    <row r="153">
      <c r="F153" s="8"/>
    </row>
    <row r="154">
      <c r="F154" s="8"/>
    </row>
    <row r="155">
      <c r="F155" s="8"/>
    </row>
    <row r="156">
      <c r="F156" s="8"/>
    </row>
    <row r="157">
      <c r="F157" s="8"/>
    </row>
    <row r="158">
      <c r="F158" s="8"/>
    </row>
    <row r="159">
      <c r="F159" s="8"/>
    </row>
    <row r="160">
      <c r="F160" s="8"/>
    </row>
    <row r="161">
      <c r="F161" s="8"/>
    </row>
    <row r="162">
      <c r="F162" s="8"/>
    </row>
    <row r="163">
      <c r="F163" s="8"/>
    </row>
    <row r="164">
      <c r="F164" s="8"/>
    </row>
    <row r="165">
      <c r="F165" s="8"/>
    </row>
    <row r="166">
      <c r="F166" s="8"/>
    </row>
    <row r="167">
      <c r="F167" s="8"/>
    </row>
    <row r="168">
      <c r="F168" s="8"/>
    </row>
    <row r="169">
      <c r="F169" s="8"/>
    </row>
    <row r="170">
      <c r="F170" s="8"/>
    </row>
    <row r="171">
      <c r="F171" s="8"/>
    </row>
    <row r="172">
      <c r="F172" s="8"/>
    </row>
    <row r="173">
      <c r="F173" s="8"/>
    </row>
    <row r="174">
      <c r="F174" s="8"/>
    </row>
    <row r="175">
      <c r="F175" s="8"/>
    </row>
    <row r="176">
      <c r="F176" s="8"/>
    </row>
    <row r="177">
      <c r="F177" s="8"/>
    </row>
    <row r="178">
      <c r="F178" s="8"/>
    </row>
    <row r="179">
      <c r="F179" s="8"/>
    </row>
    <row r="180">
      <c r="F180" s="8"/>
    </row>
    <row r="181">
      <c r="F181" s="8"/>
    </row>
    <row r="182">
      <c r="F182" s="8"/>
    </row>
    <row r="183">
      <c r="F183" s="8"/>
    </row>
    <row r="184">
      <c r="F184" s="8"/>
    </row>
    <row r="185">
      <c r="F185" s="8"/>
    </row>
    <row r="186">
      <c r="F186" s="8"/>
    </row>
    <row r="187">
      <c r="F187" s="8"/>
    </row>
    <row r="188">
      <c r="F188" s="8"/>
    </row>
    <row r="189">
      <c r="F189" s="8"/>
    </row>
    <row r="190">
      <c r="F190" s="8"/>
    </row>
    <row r="191">
      <c r="F191" s="8"/>
    </row>
    <row r="192">
      <c r="F192" s="8"/>
    </row>
    <row r="193">
      <c r="F193" s="8"/>
    </row>
    <row r="194">
      <c r="F194" s="8"/>
    </row>
    <row r="195">
      <c r="F195" s="8"/>
    </row>
    <row r="196">
      <c r="F196" s="8"/>
    </row>
    <row r="197">
      <c r="F197" s="8"/>
    </row>
    <row r="198">
      <c r="F198" s="8"/>
    </row>
    <row r="199">
      <c r="F199" s="8"/>
    </row>
    <row r="200">
      <c r="F200" s="8"/>
    </row>
    <row r="201">
      <c r="F201" s="8"/>
    </row>
    <row r="202">
      <c r="F202" s="8"/>
    </row>
    <row r="203">
      <c r="F203" s="8"/>
    </row>
    <row r="204">
      <c r="F204" s="8"/>
    </row>
    <row r="205">
      <c r="F205" s="8"/>
    </row>
    <row r="206">
      <c r="F206" s="8"/>
    </row>
    <row r="207">
      <c r="F207" s="8"/>
    </row>
    <row r="208">
      <c r="F208" s="8"/>
    </row>
    <row r="209">
      <c r="F209" s="8"/>
    </row>
    <row r="210">
      <c r="F210" s="8"/>
    </row>
    <row r="211">
      <c r="F211" s="8"/>
    </row>
    <row r="212">
      <c r="F212" s="8"/>
    </row>
    <row r="213">
      <c r="F213" s="8"/>
    </row>
    <row r="214">
      <c r="F214" s="8"/>
    </row>
    <row r="215">
      <c r="F215" s="8"/>
    </row>
    <row r="216">
      <c r="F216" s="8"/>
    </row>
    <row r="217">
      <c r="F217" s="8"/>
    </row>
    <row r="218">
      <c r="F218" s="8"/>
    </row>
    <row r="219">
      <c r="F219" s="8"/>
    </row>
    <row r="220">
      <c r="F220" s="8"/>
    </row>
    <row r="221">
      <c r="F221" s="8"/>
    </row>
    <row r="222">
      <c r="F222" s="8"/>
    </row>
    <row r="223">
      <c r="F223" s="8"/>
    </row>
    <row r="224">
      <c r="F224" s="8"/>
    </row>
    <row r="225">
      <c r="F225" s="8"/>
    </row>
    <row r="226">
      <c r="F226" s="8"/>
    </row>
    <row r="227">
      <c r="F227" s="8"/>
    </row>
    <row r="228">
      <c r="F228" s="8"/>
    </row>
    <row r="229">
      <c r="F229" s="8"/>
    </row>
    <row r="230">
      <c r="F230" s="8"/>
    </row>
    <row r="231">
      <c r="F231" s="8"/>
    </row>
    <row r="232">
      <c r="F232" s="8"/>
    </row>
    <row r="233">
      <c r="F233" s="8"/>
    </row>
    <row r="234">
      <c r="F234" s="8"/>
    </row>
    <row r="235">
      <c r="F235" s="8"/>
    </row>
    <row r="236">
      <c r="F236" s="8"/>
    </row>
    <row r="237">
      <c r="F237" s="8"/>
    </row>
    <row r="238">
      <c r="F238" s="8"/>
    </row>
    <row r="239">
      <c r="F239" s="8"/>
    </row>
    <row r="240">
      <c r="F240" s="8"/>
    </row>
    <row r="241">
      <c r="F241" s="8"/>
    </row>
    <row r="242">
      <c r="F242" s="8"/>
    </row>
    <row r="243">
      <c r="F243" s="8"/>
    </row>
    <row r="244">
      <c r="F244" s="8"/>
    </row>
    <row r="245">
      <c r="F245" s="8"/>
    </row>
    <row r="246">
      <c r="F246" s="8"/>
    </row>
    <row r="247">
      <c r="F247" s="8"/>
    </row>
    <row r="248">
      <c r="F248" s="8"/>
    </row>
    <row r="249">
      <c r="F249" s="8"/>
    </row>
    <row r="250">
      <c r="F250" s="8"/>
    </row>
    <row r="251">
      <c r="F251" s="8"/>
    </row>
    <row r="252">
      <c r="F252" s="8"/>
    </row>
    <row r="253">
      <c r="F253" s="8"/>
    </row>
    <row r="254">
      <c r="F254" s="8"/>
    </row>
    <row r="255">
      <c r="F255" s="8"/>
    </row>
    <row r="256">
      <c r="F256" s="8"/>
    </row>
    <row r="257">
      <c r="F257" s="8"/>
    </row>
    <row r="258">
      <c r="F258" s="8"/>
    </row>
    <row r="259">
      <c r="F259" s="8"/>
    </row>
    <row r="260">
      <c r="F260" s="8"/>
    </row>
    <row r="261">
      <c r="F261" s="8"/>
    </row>
    <row r="262">
      <c r="F262" s="8"/>
    </row>
    <row r="263">
      <c r="F263" s="8"/>
    </row>
    <row r="264">
      <c r="F264" s="8"/>
    </row>
    <row r="265">
      <c r="F265" s="8"/>
    </row>
    <row r="266">
      <c r="F266" s="8"/>
    </row>
    <row r="267">
      <c r="F267" s="8"/>
    </row>
    <row r="268">
      <c r="F268" s="8"/>
    </row>
    <row r="269">
      <c r="F269" s="8"/>
    </row>
    <row r="270">
      <c r="F270" s="8"/>
    </row>
    <row r="271">
      <c r="F271" s="8"/>
    </row>
    <row r="272">
      <c r="F272" s="8"/>
    </row>
    <row r="273">
      <c r="F273" s="8"/>
    </row>
    <row r="274">
      <c r="F274" s="8"/>
    </row>
    <row r="275">
      <c r="F275" s="8"/>
    </row>
    <row r="276">
      <c r="F276" s="8"/>
    </row>
    <row r="277">
      <c r="F277" s="8"/>
    </row>
    <row r="278">
      <c r="F278" s="8"/>
    </row>
    <row r="279">
      <c r="F279" s="8"/>
    </row>
    <row r="280">
      <c r="F280" s="8"/>
    </row>
    <row r="281">
      <c r="F281" s="8"/>
    </row>
    <row r="282">
      <c r="F282" s="8"/>
    </row>
    <row r="283">
      <c r="F283" s="8"/>
    </row>
    <row r="284">
      <c r="F284" s="8"/>
    </row>
    <row r="285">
      <c r="F285" s="8"/>
    </row>
    <row r="286">
      <c r="F286" s="8"/>
    </row>
    <row r="287">
      <c r="F287" s="8"/>
    </row>
    <row r="288">
      <c r="F288" s="8"/>
    </row>
    <row r="289">
      <c r="F289" s="8"/>
    </row>
    <row r="290">
      <c r="F290" s="8"/>
    </row>
    <row r="291">
      <c r="F291" s="8"/>
    </row>
    <row r="292">
      <c r="F292" s="8"/>
    </row>
    <row r="293">
      <c r="F293" s="8"/>
    </row>
    <row r="294">
      <c r="F294" s="8"/>
    </row>
    <row r="295">
      <c r="F295" s="8"/>
    </row>
    <row r="296">
      <c r="F296" s="8"/>
    </row>
    <row r="297">
      <c r="F297" s="8"/>
    </row>
    <row r="298">
      <c r="F298" s="8"/>
    </row>
    <row r="299">
      <c r="F299" s="8"/>
    </row>
    <row r="300">
      <c r="F300" s="8"/>
    </row>
    <row r="301">
      <c r="F301" s="8"/>
    </row>
    <row r="302">
      <c r="F302" s="8"/>
    </row>
    <row r="303">
      <c r="F303" s="8"/>
    </row>
    <row r="304">
      <c r="F304" s="8"/>
    </row>
    <row r="305">
      <c r="F305" s="8"/>
    </row>
    <row r="306">
      <c r="F306" s="8"/>
    </row>
    <row r="307">
      <c r="F307" s="8"/>
    </row>
    <row r="308">
      <c r="F308" s="8"/>
    </row>
    <row r="309">
      <c r="F309" s="8"/>
    </row>
    <row r="310">
      <c r="F310" s="8"/>
    </row>
    <row r="311">
      <c r="F311" s="8"/>
    </row>
    <row r="312">
      <c r="F312" s="8"/>
    </row>
    <row r="313">
      <c r="F313" s="8"/>
    </row>
    <row r="314">
      <c r="F314" s="8"/>
    </row>
    <row r="315">
      <c r="F315" s="8"/>
    </row>
    <row r="316">
      <c r="F316" s="8"/>
    </row>
    <row r="317">
      <c r="F317" s="8"/>
    </row>
    <row r="318">
      <c r="F318" s="8"/>
    </row>
    <row r="319">
      <c r="F319" s="8"/>
    </row>
    <row r="320">
      <c r="F320" s="8"/>
    </row>
    <row r="321">
      <c r="F321" s="8"/>
    </row>
    <row r="322">
      <c r="F322" s="8"/>
    </row>
    <row r="323">
      <c r="F323" s="8"/>
    </row>
    <row r="324">
      <c r="F324" s="8"/>
    </row>
    <row r="325">
      <c r="F325" s="8"/>
    </row>
    <row r="326">
      <c r="F326" s="8"/>
    </row>
    <row r="327">
      <c r="F327" s="8"/>
    </row>
    <row r="328">
      <c r="F328" s="8"/>
    </row>
    <row r="329">
      <c r="F329" s="8"/>
    </row>
    <row r="330">
      <c r="F330" s="8"/>
    </row>
    <row r="331">
      <c r="F331" s="8"/>
    </row>
    <row r="332">
      <c r="F332" s="8"/>
    </row>
    <row r="333">
      <c r="F333" s="8"/>
    </row>
    <row r="334">
      <c r="F334" s="8"/>
    </row>
    <row r="335">
      <c r="F335" s="8"/>
    </row>
    <row r="336">
      <c r="F336" s="8"/>
    </row>
    <row r="337">
      <c r="F337" s="8"/>
    </row>
    <row r="338">
      <c r="F338" s="8"/>
    </row>
    <row r="339">
      <c r="F339" s="8"/>
    </row>
    <row r="340">
      <c r="F340" s="8"/>
    </row>
    <row r="341">
      <c r="F341" s="8"/>
    </row>
    <row r="342">
      <c r="F342" s="8"/>
    </row>
    <row r="343">
      <c r="F343" s="8"/>
    </row>
    <row r="344">
      <c r="F344" s="8"/>
    </row>
    <row r="345">
      <c r="F345" s="8"/>
    </row>
    <row r="346">
      <c r="F346" s="8"/>
    </row>
    <row r="347">
      <c r="F347" s="8"/>
    </row>
    <row r="348">
      <c r="F348" s="8"/>
    </row>
    <row r="349">
      <c r="F349" s="8"/>
    </row>
    <row r="350">
      <c r="F350" s="8"/>
    </row>
    <row r="351">
      <c r="F351" s="8"/>
    </row>
    <row r="352">
      <c r="F352" s="8"/>
    </row>
    <row r="353">
      <c r="F353" s="8"/>
    </row>
    <row r="354">
      <c r="F354" s="8"/>
    </row>
    <row r="355">
      <c r="F355" s="8"/>
    </row>
    <row r="356">
      <c r="F356" s="8"/>
    </row>
    <row r="357">
      <c r="F357" s="8"/>
    </row>
    <row r="358">
      <c r="F358" s="8"/>
    </row>
    <row r="359">
      <c r="F359" s="8"/>
    </row>
    <row r="360">
      <c r="F360" s="8"/>
    </row>
    <row r="361">
      <c r="F361" s="8"/>
    </row>
    <row r="362">
      <c r="F362" s="8"/>
    </row>
    <row r="363">
      <c r="F363" s="8"/>
    </row>
    <row r="364">
      <c r="F364" s="8"/>
    </row>
    <row r="365">
      <c r="F365" s="8"/>
    </row>
    <row r="366">
      <c r="F366" s="8"/>
    </row>
    <row r="367">
      <c r="F367" s="8"/>
    </row>
    <row r="368">
      <c r="F368" s="8"/>
    </row>
    <row r="369">
      <c r="F369" s="8"/>
    </row>
    <row r="370">
      <c r="F370" s="8"/>
    </row>
    <row r="371">
      <c r="F371" s="8"/>
    </row>
    <row r="372">
      <c r="F372" s="8"/>
    </row>
    <row r="373">
      <c r="F373" s="8"/>
    </row>
    <row r="374">
      <c r="F374" s="8"/>
    </row>
    <row r="375">
      <c r="F375" s="8"/>
    </row>
    <row r="376">
      <c r="F376" s="8"/>
    </row>
    <row r="377">
      <c r="F377" s="8"/>
    </row>
    <row r="378">
      <c r="F378" s="8"/>
    </row>
    <row r="379">
      <c r="F379" s="8"/>
    </row>
    <row r="380">
      <c r="F380" s="8"/>
    </row>
    <row r="381">
      <c r="F381" s="8"/>
    </row>
    <row r="382">
      <c r="F382" s="8"/>
    </row>
    <row r="383">
      <c r="F383" s="8"/>
    </row>
    <row r="384">
      <c r="F384" s="8"/>
    </row>
    <row r="385">
      <c r="F385" s="8"/>
    </row>
    <row r="386">
      <c r="F386" s="8"/>
    </row>
    <row r="387">
      <c r="F387" s="8"/>
    </row>
    <row r="388">
      <c r="F388" s="8"/>
    </row>
    <row r="389">
      <c r="F389" s="8"/>
    </row>
    <row r="390">
      <c r="F390" s="8"/>
    </row>
    <row r="391">
      <c r="F391" s="8"/>
    </row>
    <row r="392">
      <c r="F392" s="8"/>
    </row>
    <row r="393">
      <c r="F393" s="8"/>
    </row>
    <row r="394">
      <c r="F394" s="8"/>
    </row>
    <row r="395">
      <c r="F395" s="8"/>
    </row>
    <row r="396">
      <c r="F396" s="8"/>
    </row>
    <row r="397">
      <c r="F397" s="8"/>
    </row>
    <row r="398">
      <c r="F398" s="8"/>
    </row>
    <row r="399">
      <c r="F399" s="8"/>
    </row>
    <row r="400">
      <c r="F400" s="8"/>
    </row>
    <row r="401">
      <c r="F401" s="8"/>
    </row>
    <row r="402">
      <c r="F402" s="8"/>
    </row>
    <row r="403">
      <c r="F403" s="8"/>
    </row>
    <row r="404">
      <c r="F404" s="8"/>
    </row>
    <row r="405">
      <c r="F405" s="8"/>
    </row>
    <row r="406">
      <c r="F406" s="8"/>
    </row>
    <row r="407">
      <c r="F407" s="8"/>
    </row>
    <row r="408">
      <c r="F408" s="8"/>
    </row>
    <row r="409">
      <c r="F409" s="8"/>
    </row>
    <row r="410">
      <c r="F410" s="8"/>
    </row>
    <row r="411">
      <c r="F411" s="8"/>
    </row>
    <row r="412">
      <c r="F412" s="8"/>
    </row>
    <row r="413">
      <c r="F413" s="8"/>
    </row>
    <row r="414">
      <c r="F414" s="8"/>
    </row>
    <row r="415">
      <c r="F415" s="8"/>
    </row>
    <row r="416">
      <c r="F416" s="8"/>
    </row>
    <row r="417">
      <c r="F417" s="8"/>
    </row>
    <row r="418">
      <c r="F418" s="8"/>
    </row>
    <row r="419">
      <c r="F419" s="8"/>
    </row>
    <row r="420">
      <c r="F420" s="8"/>
    </row>
    <row r="421">
      <c r="F421" s="8"/>
    </row>
    <row r="422">
      <c r="F422" s="8"/>
    </row>
    <row r="423">
      <c r="F423" s="8"/>
    </row>
    <row r="424">
      <c r="F424" s="8"/>
    </row>
    <row r="425">
      <c r="F425" s="8"/>
    </row>
    <row r="426">
      <c r="F426" s="8"/>
    </row>
    <row r="427">
      <c r="F427" s="8"/>
    </row>
    <row r="428">
      <c r="F428" s="8"/>
    </row>
    <row r="429">
      <c r="F429" s="8"/>
    </row>
    <row r="430">
      <c r="F430" s="8"/>
    </row>
    <row r="431">
      <c r="F431" s="8"/>
    </row>
    <row r="432">
      <c r="F432" s="8"/>
    </row>
    <row r="433">
      <c r="F433" s="8"/>
    </row>
    <row r="434">
      <c r="F434" s="8"/>
    </row>
    <row r="435">
      <c r="F435" s="8"/>
    </row>
    <row r="436">
      <c r="F436" s="8"/>
    </row>
    <row r="437">
      <c r="F437" s="8"/>
    </row>
    <row r="438">
      <c r="F438" s="8"/>
    </row>
    <row r="439">
      <c r="F439" s="8"/>
    </row>
    <row r="440">
      <c r="F440" s="8"/>
    </row>
    <row r="441">
      <c r="F441" s="8"/>
    </row>
    <row r="442">
      <c r="F442" s="8"/>
    </row>
    <row r="443">
      <c r="F443" s="8"/>
    </row>
    <row r="444">
      <c r="F444" s="8"/>
    </row>
    <row r="445">
      <c r="F445" s="8"/>
    </row>
    <row r="446">
      <c r="F446" s="8"/>
    </row>
    <row r="447">
      <c r="F447" s="8"/>
    </row>
    <row r="448">
      <c r="F448" s="8"/>
    </row>
    <row r="449">
      <c r="F449" s="8"/>
    </row>
    <row r="450">
      <c r="F450" s="8"/>
    </row>
    <row r="451">
      <c r="F451" s="8"/>
    </row>
    <row r="452">
      <c r="F452" s="8"/>
    </row>
    <row r="453">
      <c r="F453" s="8"/>
    </row>
    <row r="454">
      <c r="F454" s="8"/>
    </row>
    <row r="455">
      <c r="F455" s="8"/>
    </row>
    <row r="456">
      <c r="F456" s="8"/>
    </row>
    <row r="457">
      <c r="F457" s="8"/>
    </row>
    <row r="458">
      <c r="F458" s="8"/>
    </row>
    <row r="459">
      <c r="F459" s="8"/>
    </row>
    <row r="460">
      <c r="F460" s="8"/>
    </row>
    <row r="461">
      <c r="F461" s="8"/>
    </row>
    <row r="462">
      <c r="F462" s="8"/>
    </row>
    <row r="463">
      <c r="F463" s="8"/>
    </row>
    <row r="464">
      <c r="F464" s="8"/>
    </row>
    <row r="465">
      <c r="F465" s="8"/>
    </row>
    <row r="466">
      <c r="F466" s="8"/>
    </row>
    <row r="467">
      <c r="F467" s="8"/>
    </row>
    <row r="468">
      <c r="F468" s="8"/>
    </row>
    <row r="469">
      <c r="F469" s="8"/>
    </row>
    <row r="470">
      <c r="F470" s="8"/>
    </row>
    <row r="471">
      <c r="F471" s="8"/>
    </row>
    <row r="472">
      <c r="F472" s="8"/>
    </row>
    <row r="473">
      <c r="F473" s="8"/>
    </row>
    <row r="474">
      <c r="F474" s="8"/>
    </row>
    <row r="475">
      <c r="F475" s="8"/>
    </row>
    <row r="476">
      <c r="F476" s="8"/>
    </row>
    <row r="477">
      <c r="F477" s="8"/>
    </row>
    <row r="478">
      <c r="F478" s="8"/>
    </row>
    <row r="479">
      <c r="F479" s="8"/>
    </row>
    <row r="480">
      <c r="F480" s="8"/>
    </row>
    <row r="481">
      <c r="F481" s="8"/>
    </row>
    <row r="482">
      <c r="F482" s="8"/>
    </row>
    <row r="483">
      <c r="F483" s="8"/>
    </row>
    <row r="484">
      <c r="F484" s="8"/>
    </row>
    <row r="485">
      <c r="F485" s="8"/>
    </row>
    <row r="486">
      <c r="F486" s="8"/>
    </row>
    <row r="487">
      <c r="F487" s="8"/>
    </row>
    <row r="488">
      <c r="F488" s="8"/>
    </row>
    <row r="489">
      <c r="F489" s="8"/>
    </row>
    <row r="490">
      <c r="F490" s="8"/>
    </row>
    <row r="491">
      <c r="F491" s="8"/>
    </row>
    <row r="492">
      <c r="F492" s="8"/>
    </row>
    <row r="493">
      <c r="F493" s="8"/>
    </row>
    <row r="494">
      <c r="F494" s="8"/>
    </row>
    <row r="495">
      <c r="F495" s="8"/>
    </row>
    <row r="496">
      <c r="F496" s="8"/>
    </row>
    <row r="497">
      <c r="F497" s="8"/>
    </row>
    <row r="498">
      <c r="F498" s="8"/>
    </row>
    <row r="499">
      <c r="F499" s="8"/>
    </row>
    <row r="500">
      <c r="F500" s="8"/>
    </row>
    <row r="501">
      <c r="F501" s="8"/>
    </row>
    <row r="502">
      <c r="F502" s="8"/>
    </row>
    <row r="503">
      <c r="F503" s="8"/>
    </row>
    <row r="504">
      <c r="F504" s="8"/>
    </row>
    <row r="505">
      <c r="F505" s="8"/>
    </row>
    <row r="506">
      <c r="F506" s="8"/>
    </row>
    <row r="507">
      <c r="F507" s="8"/>
    </row>
    <row r="508">
      <c r="F508" s="8"/>
    </row>
    <row r="509">
      <c r="F509" s="8"/>
    </row>
    <row r="510">
      <c r="F510" s="8"/>
    </row>
    <row r="511">
      <c r="F511" s="8"/>
    </row>
    <row r="512">
      <c r="F512" s="8"/>
    </row>
    <row r="513">
      <c r="F513" s="8"/>
    </row>
    <row r="514">
      <c r="F514" s="8"/>
    </row>
    <row r="515">
      <c r="F515" s="8"/>
    </row>
    <row r="516">
      <c r="F516" s="8"/>
    </row>
    <row r="517">
      <c r="F517" s="8"/>
    </row>
    <row r="518">
      <c r="F518" s="8"/>
    </row>
    <row r="519">
      <c r="F519" s="8"/>
    </row>
    <row r="520">
      <c r="F520" s="8"/>
    </row>
    <row r="521">
      <c r="F521" s="8"/>
    </row>
    <row r="522">
      <c r="F522" s="8"/>
    </row>
    <row r="523">
      <c r="F523" s="8"/>
    </row>
    <row r="524">
      <c r="F524" s="8"/>
    </row>
    <row r="525">
      <c r="F525" s="8"/>
    </row>
    <row r="526">
      <c r="F526" s="8"/>
    </row>
    <row r="527">
      <c r="F527" s="8"/>
    </row>
    <row r="528">
      <c r="F528" s="8"/>
    </row>
    <row r="529">
      <c r="F529" s="8"/>
    </row>
    <row r="530">
      <c r="F530" s="8"/>
    </row>
    <row r="531">
      <c r="F531" s="8"/>
    </row>
    <row r="532">
      <c r="F532" s="8"/>
    </row>
    <row r="533">
      <c r="F533" s="8"/>
    </row>
    <row r="534">
      <c r="F534" s="8"/>
    </row>
    <row r="535">
      <c r="F535" s="8"/>
    </row>
    <row r="536">
      <c r="F536" s="8"/>
    </row>
    <row r="537">
      <c r="F537" s="8"/>
    </row>
    <row r="538">
      <c r="F538" s="8"/>
    </row>
    <row r="539">
      <c r="F539" s="8"/>
    </row>
    <row r="540">
      <c r="F540" s="8"/>
    </row>
    <row r="541">
      <c r="F541" s="8"/>
    </row>
    <row r="542">
      <c r="F542" s="8"/>
    </row>
    <row r="543">
      <c r="F543" s="8"/>
    </row>
    <row r="544">
      <c r="F544" s="8"/>
    </row>
    <row r="545">
      <c r="F545" s="8"/>
    </row>
    <row r="546">
      <c r="F546" s="8"/>
    </row>
    <row r="547">
      <c r="F547" s="8"/>
    </row>
    <row r="548">
      <c r="F548" s="8"/>
    </row>
    <row r="549">
      <c r="F549" s="8"/>
    </row>
    <row r="550">
      <c r="F550" s="8"/>
    </row>
    <row r="551">
      <c r="F551" s="8"/>
    </row>
    <row r="552">
      <c r="F552" s="8"/>
    </row>
    <row r="553">
      <c r="F553" s="8"/>
    </row>
    <row r="554">
      <c r="F554" s="8"/>
    </row>
    <row r="555">
      <c r="F555" s="8"/>
    </row>
    <row r="556">
      <c r="F556" s="8"/>
    </row>
    <row r="557">
      <c r="F557" s="8"/>
    </row>
    <row r="558">
      <c r="F558" s="8"/>
    </row>
    <row r="559">
      <c r="F559" s="8"/>
    </row>
    <row r="560">
      <c r="F560" s="8"/>
    </row>
    <row r="561">
      <c r="F561" s="8"/>
    </row>
    <row r="562">
      <c r="F562" s="8"/>
    </row>
    <row r="563">
      <c r="F563" s="8"/>
    </row>
    <row r="564">
      <c r="F564" s="8"/>
    </row>
    <row r="565">
      <c r="F565" s="8"/>
    </row>
    <row r="566">
      <c r="F566" s="8"/>
    </row>
    <row r="567">
      <c r="F567" s="8"/>
    </row>
    <row r="568">
      <c r="F568" s="8"/>
    </row>
    <row r="569">
      <c r="F569" s="8"/>
    </row>
    <row r="570">
      <c r="F570" s="8"/>
    </row>
    <row r="571">
      <c r="F571" s="8"/>
    </row>
    <row r="572">
      <c r="F572" s="8"/>
    </row>
    <row r="573">
      <c r="F573" s="8"/>
    </row>
    <row r="574">
      <c r="F574" s="8"/>
    </row>
    <row r="575">
      <c r="F575" s="8"/>
    </row>
    <row r="576">
      <c r="F576" s="8"/>
    </row>
    <row r="577">
      <c r="F577" s="8"/>
    </row>
    <row r="578">
      <c r="F578" s="8"/>
    </row>
    <row r="579">
      <c r="F579" s="8"/>
    </row>
    <row r="580">
      <c r="F580" s="8"/>
    </row>
    <row r="581">
      <c r="F581" s="8"/>
    </row>
    <row r="582">
      <c r="F582" s="8"/>
    </row>
    <row r="583">
      <c r="F583" s="8"/>
    </row>
    <row r="584">
      <c r="F584" s="8"/>
    </row>
    <row r="585">
      <c r="F585" s="8"/>
    </row>
    <row r="586">
      <c r="F586" s="8"/>
    </row>
    <row r="587">
      <c r="F587" s="8"/>
    </row>
    <row r="588">
      <c r="F588" s="8"/>
    </row>
    <row r="589">
      <c r="F589" s="8"/>
    </row>
    <row r="590">
      <c r="F590" s="8"/>
    </row>
    <row r="591">
      <c r="F591" s="8"/>
    </row>
    <row r="592">
      <c r="F592" s="8"/>
    </row>
    <row r="593">
      <c r="F593" s="8"/>
    </row>
    <row r="594">
      <c r="F594" s="8"/>
    </row>
    <row r="595">
      <c r="F595" s="8"/>
    </row>
    <row r="596">
      <c r="F596" s="8"/>
    </row>
    <row r="597">
      <c r="F597" s="8"/>
    </row>
    <row r="598">
      <c r="F598" s="8"/>
    </row>
    <row r="599">
      <c r="F599" s="8"/>
    </row>
    <row r="600">
      <c r="F600" s="8"/>
    </row>
    <row r="601">
      <c r="F601" s="8"/>
    </row>
    <row r="602">
      <c r="F602" s="8"/>
    </row>
    <row r="603">
      <c r="F603" s="8"/>
    </row>
    <row r="604">
      <c r="F604" s="8"/>
    </row>
    <row r="605">
      <c r="F605" s="8"/>
    </row>
    <row r="606">
      <c r="F606" s="8"/>
    </row>
    <row r="607">
      <c r="F607" s="8"/>
    </row>
    <row r="608">
      <c r="F608" s="8"/>
    </row>
    <row r="609">
      <c r="F609" s="8"/>
    </row>
    <row r="610">
      <c r="F610" s="8"/>
    </row>
    <row r="611">
      <c r="F611" s="8"/>
    </row>
    <row r="612">
      <c r="F612" s="8"/>
    </row>
    <row r="613">
      <c r="F613" s="8"/>
    </row>
    <row r="614">
      <c r="F614" s="8"/>
    </row>
    <row r="615">
      <c r="F615" s="8"/>
    </row>
    <row r="616">
      <c r="F616" s="8"/>
    </row>
    <row r="617">
      <c r="F617" s="8"/>
    </row>
    <row r="618">
      <c r="F618" s="8"/>
    </row>
    <row r="619">
      <c r="F619" s="8"/>
    </row>
    <row r="620">
      <c r="F620" s="8"/>
    </row>
    <row r="621">
      <c r="F621" s="8"/>
    </row>
    <row r="622">
      <c r="F622" s="8"/>
    </row>
    <row r="623">
      <c r="F623" s="8"/>
    </row>
    <row r="624">
      <c r="F624" s="8"/>
    </row>
    <row r="625">
      <c r="F625" s="8"/>
    </row>
    <row r="626">
      <c r="F626" s="8"/>
    </row>
    <row r="627">
      <c r="F627" s="8"/>
    </row>
    <row r="628">
      <c r="F628" s="8"/>
    </row>
    <row r="629">
      <c r="F629" s="8"/>
    </row>
    <row r="630">
      <c r="F630" s="8"/>
    </row>
    <row r="631">
      <c r="F631" s="8"/>
    </row>
    <row r="632">
      <c r="F632" s="8"/>
    </row>
    <row r="633">
      <c r="F633" s="8"/>
    </row>
    <row r="634">
      <c r="F634" s="8"/>
    </row>
    <row r="635">
      <c r="F635" s="8"/>
    </row>
    <row r="636">
      <c r="F636" s="8"/>
    </row>
    <row r="637">
      <c r="F637" s="8"/>
    </row>
    <row r="638">
      <c r="F638" s="8"/>
    </row>
    <row r="639">
      <c r="F639" s="8"/>
    </row>
    <row r="640">
      <c r="F640" s="8"/>
    </row>
    <row r="641">
      <c r="F641" s="8"/>
    </row>
    <row r="642">
      <c r="F642" s="8"/>
    </row>
    <row r="643">
      <c r="F643" s="8"/>
    </row>
    <row r="644">
      <c r="F644" s="8"/>
    </row>
    <row r="645">
      <c r="F645" s="8"/>
    </row>
    <row r="646">
      <c r="F646" s="8"/>
    </row>
    <row r="647">
      <c r="F647" s="8"/>
    </row>
    <row r="648">
      <c r="F648" s="8"/>
    </row>
    <row r="649">
      <c r="F649" s="8"/>
    </row>
    <row r="650">
      <c r="F650" s="8"/>
    </row>
    <row r="651">
      <c r="F651" s="8"/>
    </row>
    <row r="652">
      <c r="F652" s="8"/>
    </row>
    <row r="653">
      <c r="F653" s="8"/>
    </row>
    <row r="654">
      <c r="F654" s="8"/>
    </row>
    <row r="655">
      <c r="F655" s="8"/>
    </row>
    <row r="656">
      <c r="F656" s="8"/>
    </row>
    <row r="657">
      <c r="F657" s="8"/>
    </row>
    <row r="658">
      <c r="F658" s="8"/>
    </row>
    <row r="659">
      <c r="F659" s="8"/>
    </row>
    <row r="660">
      <c r="F660" s="8"/>
    </row>
    <row r="661">
      <c r="F661" s="8"/>
    </row>
    <row r="662">
      <c r="F662" s="8"/>
    </row>
    <row r="663">
      <c r="F663" s="8"/>
    </row>
    <row r="664">
      <c r="F664" s="8"/>
    </row>
    <row r="665">
      <c r="F665" s="8"/>
    </row>
    <row r="666">
      <c r="F666" s="8"/>
    </row>
    <row r="667">
      <c r="F667" s="8"/>
    </row>
    <row r="668">
      <c r="F668" s="8"/>
    </row>
    <row r="669">
      <c r="F669" s="8"/>
    </row>
    <row r="670">
      <c r="F670" s="8"/>
    </row>
    <row r="671">
      <c r="F671" s="8"/>
    </row>
    <row r="672">
      <c r="F672" s="8"/>
    </row>
    <row r="673">
      <c r="F673" s="8"/>
    </row>
    <row r="674">
      <c r="F674" s="8"/>
    </row>
    <row r="675">
      <c r="F675" s="8"/>
    </row>
    <row r="676">
      <c r="F676" s="8"/>
    </row>
    <row r="677">
      <c r="F677" s="8"/>
    </row>
    <row r="678">
      <c r="F678" s="8"/>
    </row>
    <row r="679">
      <c r="F679" s="8"/>
    </row>
    <row r="680">
      <c r="F680" s="8"/>
    </row>
    <row r="681">
      <c r="F681" s="8"/>
    </row>
    <row r="682">
      <c r="F682" s="8"/>
    </row>
    <row r="683">
      <c r="F683" s="8"/>
    </row>
    <row r="684">
      <c r="F684" s="8"/>
    </row>
    <row r="685">
      <c r="F685" s="8"/>
    </row>
    <row r="686">
      <c r="F686" s="8"/>
    </row>
    <row r="687">
      <c r="F687" s="8"/>
    </row>
    <row r="688">
      <c r="F688" s="8"/>
    </row>
    <row r="689">
      <c r="F689" s="8"/>
    </row>
    <row r="690">
      <c r="F690" s="8"/>
    </row>
    <row r="691">
      <c r="F691" s="8"/>
    </row>
    <row r="692">
      <c r="F692" s="8"/>
    </row>
    <row r="693">
      <c r="F693" s="8"/>
    </row>
    <row r="694">
      <c r="F694" s="8"/>
    </row>
    <row r="695">
      <c r="F695" s="8"/>
    </row>
    <row r="696">
      <c r="F696" s="8"/>
    </row>
    <row r="697">
      <c r="F697" s="8"/>
    </row>
    <row r="698">
      <c r="F698" s="8"/>
    </row>
    <row r="699">
      <c r="F699" s="8"/>
    </row>
    <row r="700">
      <c r="F700" s="8"/>
    </row>
    <row r="701">
      <c r="F701" s="8"/>
    </row>
    <row r="702">
      <c r="F702" s="8"/>
    </row>
    <row r="703">
      <c r="F703" s="8"/>
    </row>
    <row r="704">
      <c r="F704" s="8"/>
    </row>
    <row r="705">
      <c r="F705" s="8"/>
    </row>
    <row r="706">
      <c r="F706" s="8"/>
    </row>
    <row r="707">
      <c r="F707" s="8"/>
    </row>
    <row r="708">
      <c r="F708" s="8"/>
    </row>
    <row r="709">
      <c r="F709" s="8"/>
    </row>
    <row r="710">
      <c r="F710" s="8"/>
    </row>
    <row r="711">
      <c r="F711" s="8"/>
    </row>
    <row r="712">
      <c r="F712" s="8"/>
    </row>
    <row r="713">
      <c r="F713" s="8"/>
    </row>
    <row r="714">
      <c r="F714" s="8"/>
    </row>
    <row r="715">
      <c r="F715" s="8"/>
    </row>
    <row r="716">
      <c r="F716" s="8"/>
    </row>
    <row r="717">
      <c r="F717" s="8"/>
    </row>
    <row r="718">
      <c r="F718" s="8"/>
    </row>
    <row r="719">
      <c r="F719" s="8"/>
    </row>
    <row r="720">
      <c r="F720" s="8"/>
    </row>
    <row r="721">
      <c r="F721" s="8"/>
    </row>
    <row r="722">
      <c r="F722" s="8"/>
    </row>
    <row r="723">
      <c r="F723" s="8"/>
    </row>
    <row r="724">
      <c r="F724" s="8"/>
    </row>
    <row r="725">
      <c r="F725" s="8"/>
    </row>
    <row r="726">
      <c r="F726" s="8"/>
    </row>
    <row r="727">
      <c r="F727" s="8"/>
    </row>
    <row r="728">
      <c r="F728" s="8"/>
    </row>
    <row r="729">
      <c r="F729" s="8"/>
    </row>
    <row r="730">
      <c r="F730" s="8"/>
    </row>
    <row r="731">
      <c r="F731" s="8"/>
    </row>
    <row r="732">
      <c r="F732" s="8"/>
    </row>
    <row r="733">
      <c r="F733" s="8"/>
    </row>
    <row r="734">
      <c r="F734" s="8"/>
    </row>
    <row r="735">
      <c r="F735" s="8"/>
    </row>
    <row r="736">
      <c r="F736" s="8"/>
    </row>
    <row r="737">
      <c r="F737" s="8"/>
    </row>
    <row r="738">
      <c r="F738" s="8"/>
    </row>
    <row r="739">
      <c r="F739" s="8"/>
    </row>
    <row r="740">
      <c r="F740" s="8"/>
    </row>
    <row r="741">
      <c r="F741" s="8"/>
    </row>
    <row r="742">
      <c r="F742" s="8"/>
    </row>
    <row r="743">
      <c r="F743" s="8"/>
    </row>
    <row r="744">
      <c r="F744" s="8"/>
    </row>
    <row r="745">
      <c r="F745" s="8"/>
    </row>
    <row r="746">
      <c r="F746" s="8"/>
    </row>
    <row r="747">
      <c r="F747" s="8"/>
    </row>
    <row r="748">
      <c r="F748" s="8"/>
    </row>
    <row r="749">
      <c r="F749" s="8"/>
    </row>
    <row r="750">
      <c r="F750" s="8"/>
    </row>
    <row r="751">
      <c r="F751" s="8"/>
    </row>
    <row r="752">
      <c r="F752" s="8"/>
    </row>
    <row r="753">
      <c r="F753" s="8"/>
    </row>
    <row r="754">
      <c r="F754" s="8"/>
    </row>
    <row r="755">
      <c r="F755" s="8"/>
    </row>
    <row r="756">
      <c r="F756" s="8"/>
    </row>
    <row r="757">
      <c r="F757" s="8"/>
    </row>
    <row r="758">
      <c r="F758" s="8"/>
    </row>
    <row r="759">
      <c r="F759" s="8"/>
    </row>
    <row r="760">
      <c r="F760" s="8"/>
    </row>
    <row r="761">
      <c r="F761" s="8"/>
    </row>
    <row r="762">
      <c r="F762" s="8"/>
    </row>
    <row r="763">
      <c r="F763" s="8"/>
    </row>
    <row r="764">
      <c r="F764" s="8"/>
    </row>
    <row r="765">
      <c r="F765" s="8"/>
    </row>
    <row r="766">
      <c r="F766" s="8"/>
    </row>
    <row r="767">
      <c r="F767" s="8"/>
    </row>
    <row r="768">
      <c r="F768" s="8"/>
    </row>
    <row r="769">
      <c r="F769" s="8"/>
    </row>
    <row r="770">
      <c r="F770" s="8"/>
    </row>
    <row r="771">
      <c r="F771" s="8"/>
    </row>
    <row r="772">
      <c r="F772" s="8"/>
    </row>
    <row r="773">
      <c r="F773" s="8"/>
    </row>
    <row r="774">
      <c r="F774" s="8"/>
    </row>
    <row r="775">
      <c r="F775" s="8"/>
    </row>
    <row r="776">
      <c r="F776" s="8"/>
    </row>
    <row r="777">
      <c r="F777" s="8"/>
    </row>
    <row r="778">
      <c r="F778" s="8"/>
    </row>
    <row r="779">
      <c r="F779" s="8"/>
    </row>
    <row r="780">
      <c r="F780" s="8"/>
    </row>
    <row r="781">
      <c r="F781" s="8"/>
    </row>
    <row r="782">
      <c r="F782" s="8"/>
    </row>
    <row r="783">
      <c r="F783" s="8"/>
    </row>
    <row r="784">
      <c r="F784" s="8"/>
    </row>
    <row r="785">
      <c r="F785" s="8"/>
    </row>
    <row r="786">
      <c r="F786" s="8"/>
    </row>
    <row r="787">
      <c r="F787" s="8"/>
    </row>
    <row r="788">
      <c r="F788" s="8"/>
    </row>
    <row r="789">
      <c r="F789" s="8"/>
    </row>
    <row r="790">
      <c r="F790" s="8"/>
    </row>
    <row r="791">
      <c r="F791" s="8"/>
    </row>
    <row r="792">
      <c r="F792" s="8"/>
    </row>
    <row r="793">
      <c r="F793" s="8"/>
    </row>
    <row r="794">
      <c r="F794" s="8"/>
    </row>
    <row r="795">
      <c r="F795" s="8"/>
    </row>
    <row r="796">
      <c r="F796" s="8"/>
    </row>
    <row r="797">
      <c r="F797" s="8"/>
    </row>
    <row r="798">
      <c r="F798" s="8"/>
    </row>
    <row r="799">
      <c r="F799" s="8"/>
    </row>
    <row r="800">
      <c r="F800" s="8"/>
    </row>
    <row r="801">
      <c r="F801" s="8"/>
    </row>
    <row r="802">
      <c r="F802" s="8"/>
    </row>
    <row r="803">
      <c r="F803" s="8"/>
    </row>
    <row r="804">
      <c r="F804" s="8"/>
    </row>
    <row r="805">
      <c r="F805" s="8"/>
    </row>
    <row r="806">
      <c r="F806" s="8"/>
    </row>
    <row r="807">
      <c r="F807" s="8"/>
    </row>
    <row r="808">
      <c r="F808" s="8"/>
    </row>
    <row r="809">
      <c r="F809" s="8"/>
    </row>
    <row r="810">
      <c r="F810" s="8"/>
    </row>
    <row r="811">
      <c r="F811" s="8"/>
    </row>
    <row r="812">
      <c r="F812" s="8"/>
    </row>
    <row r="813">
      <c r="F813" s="8"/>
    </row>
    <row r="814">
      <c r="F814" s="8"/>
    </row>
    <row r="815">
      <c r="F815" s="8"/>
    </row>
    <row r="816">
      <c r="F816" s="8"/>
    </row>
    <row r="817">
      <c r="F817" s="8"/>
    </row>
    <row r="818">
      <c r="F818" s="8"/>
    </row>
    <row r="819">
      <c r="F819" s="8"/>
    </row>
    <row r="820">
      <c r="F820" s="8"/>
    </row>
    <row r="821">
      <c r="F821" s="8"/>
    </row>
    <row r="822">
      <c r="F822" s="8"/>
    </row>
    <row r="823">
      <c r="F823" s="8"/>
    </row>
    <row r="824">
      <c r="F824" s="8"/>
    </row>
    <row r="825">
      <c r="F825" s="8"/>
    </row>
    <row r="826">
      <c r="F826" s="8"/>
    </row>
    <row r="827">
      <c r="F827" s="8"/>
    </row>
    <row r="828">
      <c r="F828" s="8"/>
    </row>
    <row r="829">
      <c r="F829" s="8"/>
    </row>
    <row r="830">
      <c r="F830" s="8"/>
    </row>
    <row r="831">
      <c r="F831" s="8"/>
    </row>
    <row r="832">
      <c r="F832" s="8"/>
    </row>
    <row r="833">
      <c r="F833" s="8"/>
    </row>
    <row r="834">
      <c r="F834" s="8"/>
    </row>
    <row r="835">
      <c r="F835" s="8"/>
    </row>
    <row r="836">
      <c r="F836" s="8"/>
    </row>
    <row r="837">
      <c r="F837" s="8"/>
    </row>
    <row r="838">
      <c r="F838" s="8"/>
    </row>
    <row r="839">
      <c r="F839" s="8"/>
    </row>
    <row r="840">
      <c r="F840" s="8"/>
    </row>
    <row r="841">
      <c r="F841" s="8"/>
    </row>
    <row r="842">
      <c r="F842" s="8"/>
    </row>
    <row r="843">
      <c r="F843" s="8"/>
    </row>
    <row r="844">
      <c r="F844" s="8"/>
    </row>
    <row r="845">
      <c r="F845" s="8"/>
    </row>
    <row r="846">
      <c r="F846" s="8"/>
    </row>
    <row r="847">
      <c r="F847" s="8"/>
    </row>
    <row r="848">
      <c r="F848" s="8"/>
    </row>
    <row r="849">
      <c r="F849" s="8"/>
    </row>
    <row r="850">
      <c r="F850" s="8"/>
    </row>
    <row r="851">
      <c r="F851" s="8"/>
    </row>
    <row r="852">
      <c r="F852" s="8"/>
    </row>
    <row r="853">
      <c r="F853" s="8"/>
    </row>
    <row r="854">
      <c r="F854" s="8"/>
    </row>
    <row r="855">
      <c r="F855" s="8"/>
    </row>
    <row r="856">
      <c r="F856" s="8"/>
    </row>
    <row r="857">
      <c r="F857" s="8"/>
    </row>
    <row r="858">
      <c r="F858" s="8"/>
    </row>
    <row r="859">
      <c r="F859" s="8"/>
    </row>
    <row r="860">
      <c r="F860" s="8"/>
    </row>
    <row r="861">
      <c r="F861" s="8"/>
    </row>
    <row r="862">
      <c r="F862" s="8"/>
    </row>
    <row r="863">
      <c r="F863" s="8"/>
    </row>
    <row r="864">
      <c r="F864" s="8"/>
    </row>
    <row r="865">
      <c r="F865" s="8"/>
    </row>
    <row r="866">
      <c r="F866" s="8"/>
    </row>
    <row r="867">
      <c r="F867" s="8"/>
    </row>
    <row r="868">
      <c r="F868" s="8"/>
    </row>
    <row r="869">
      <c r="F869" s="8"/>
    </row>
    <row r="870">
      <c r="F870" s="8"/>
    </row>
    <row r="871">
      <c r="F871" s="8"/>
    </row>
    <row r="872">
      <c r="F872" s="8"/>
    </row>
    <row r="873">
      <c r="F873" s="8"/>
    </row>
    <row r="874">
      <c r="F874" s="8"/>
    </row>
    <row r="875">
      <c r="F875" s="8"/>
    </row>
    <row r="876">
      <c r="F876" s="8"/>
    </row>
    <row r="877">
      <c r="F877" s="8"/>
    </row>
    <row r="878">
      <c r="F878" s="8"/>
    </row>
    <row r="879">
      <c r="F879" s="8"/>
    </row>
    <row r="880">
      <c r="F880" s="8"/>
    </row>
    <row r="881">
      <c r="F881" s="8"/>
    </row>
    <row r="882">
      <c r="F882" s="8"/>
    </row>
    <row r="883">
      <c r="F883" s="8"/>
    </row>
    <row r="884">
      <c r="F884" s="8"/>
    </row>
    <row r="885">
      <c r="F885" s="8"/>
    </row>
    <row r="886">
      <c r="F886" s="8"/>
    </row>
    <row r="887">
      <c r="F887" s="8"/>
    </row>
    <row r="888">
      <c r="F888" s="8"/>
    </row>
    <row r="889">
      <c r="F889" s="8"/>
    </row>
    <row r="890">
      <c r="F890" s="8"/>
    </row>
    <row r="891">
      <c r="F891" s="8"/>
    </row>
    <row r="892">
      <c r="F892" s="8"/>
    </row>
    <row r="893">
      <c r="F893" s="8"/>
    </row>
    <row r="894">
      <c r="F894" s="8"/>
    </row>
    <row r="895">
      <c r="F895" s="8"/>
    </row>
    <row r="896">
      <c r="F896" s="8"/>
    </row>
    <row r="897">
      <c r="F897" s="8"/>
    </row>
    <row r="898">
      <c r="F898" s="8"/>
    </row>
    <row r="899">
      <c r="F899" s="8"/>
    </row>
    <row r="900">
      <c r="F900" s="8"/>
    </row>
    <row r="901">
      <c r="F901" s="8"/>
    </row>
    <row r="902">
      <c r="F902" s="8"/>
    </row>
    <row r="903">
      <c r="F903" s="8"/>
    </row>
    <row r="904">
      <c r="F904" s="8"/>
    </row>
    <row r="905">
      <c r="F905" s="8"/>
    </row>
    <row r="906">
      <c r="F906" s="8"/>
    </row>
    <row r="907">
      <c r="F907" s="8"/>
    </row>
    <row r="908">
      <c r="F908" s="8"/>
    </row>
    <row r="909">
      <c r="F909" s="8"/>
    </row>
    <row r="910">
      <c r="F910" s="8"/>
    </row>
    <row r="911">
      <c r="F911" s="8"/>
    </row>
    <row r="912">
      <c r="F912" s="8"/>
    </row>
    <row r="913">
      <c r="F913" s="8"/>
    </row>
    <row r="914">
      <c r="F914" s="8"/>
    </row>
    <row r="915">
      <c r="F915" s="8"/>
    </row>
    <row r="916">
      <c r="F916" s="8"/>
    </row>
    <row r="917">
      <c r="F917" s="8"/>
    </row>
    <row r="918">
      <c r="F918" s="8"/>
    </row>
    <row r="919">
      <c r="F919" s="8"/>
    </row>
    <row r="920">
      <c r="F920" s="8"/>
    </row>
    <row r="921">
      <c r="F921" s="8"/>
    </row>
    <row r="922">
      <c r="F922" s="8"/>
    </row>
    <row r="923">
      <c r="F923" s="8"/>
    </row>
    <row r="924">
      <c r="F924" s="8"/>
    </row>
    <row r="925">
      <c r="F925" s="8"/>
    </row>
    <row r="926">
      <c r="F926" s="8"/>
    </row>
    <row r="927">
      <c r="F927" s="8"/>
    </row>
    <row r="928">
      <c r="F928" s="8"/>
    </row>
    <row r="929">
      <c r="F929" s="8"/>
    </row>
    <row r="930">
      <c r="F930" s="8"/>
    </row>
    <row r="931">
      <c r="F931" s="8"/>
    </row>
    <row r="932">
      <c r="F932" s="8"/>
    </row>
    <row r="933">
      <c r="F933" s="8"/>
    </row>
    <row r="934">
      <c r="F934" s="8"/>
    </row>
    <row r="935">
      <c r="F935" s="8"/>
    </row>
    <row r="936">
      <c r="F936" s="8"/>
    </row>
    <row r="937">
      <c r="F937" s="8"/>
    </row>
    <row r="938">
      <c r="F938" s="8"/>
    </row>
    <row r="939">
      <c r="F939" s="8"/>
    </row>
    <row r="940">
      <c r="F940" s="8"/>
    </row>
    <row r="941">
      <c r="F941" s="8"/>
    </row>
    <row r="942">
      <c r="F942" s="8"/>
    </row>
    <row r="943">
      <c r="F943" s="8"/>
    </row>
    <row r="944">
      <c r="F944" s="8"/>
    </row>
    <row r="945">
      <c r="F945" s="8"/>
    </row>
    <row r="946">
      <c r="F946" s="8"/>
    </row>
    <row r="947">
      <c r="F947" s="8"/>
    </row>
    <row r="948">
      <c r="F948" s="8"/>
    </row>
    <row r="949">
      <c r="F949" s="8"/>
    </row>
    <row r="950">
      <c r="F950" s="8"/>
    </row>
    <row r="951">
      <c r="F951" s="8"/>
    </row>
    <row r="952">
      <c r="F952" s="8"/>
    </row>
    <row r="953">
      <c r="F953" s="8"/>
    </row>
    <row r="954">
      <c r="F954" s="8"/>
    </row>
    <row r="955">
      <c r="F955" s="8"/>
    </row>
    <row r="956">
      <c r="F956" s="8"/>
    </row>
    <row r="957">
      <c r="F957" s="8"/>
    </row>
    <row r="958">
      <c r="F958" s="8"/>
    </row>
    <row r="959">
      <c r="F959" s="8"/>
    </row>
    <row r="960">
      <c r="F960" s="8"/>
    </row>
    <row r="961">
      <c r="F961" s="8"/>
    </row>
    <row r="962">
      <c r="F962" s="8"/>
    </row>
    <row r="963">
      <c r="F963" s="8"/>
    </row>
    <row r="964">
      <c r="F964" s="8"/>
    </row>
    <row r="965">
      <c r="F965" s="8"/>
    </row>
    <row r="966">
      <c r="F966" s="8"/>
    </row>
    <row r="967">
      <c r="F967" s="8"/>
    </row>
    <row r="968">
      <c r="F968" s="8"/>
    </row>
    <row r="969">
      <c r="F969" s="8"/>
    </row>
    <row r="970">
      <c r="F970" s="8"/>
    </row>
    <row r="971">
      <c r="F971" s="8"/>
    </row>
    <row r="972">
      <c r="F972" s="8"/>
    </row>
    <row r="973">
      <c r="F973" s="8"/>
    </row>
    <row r="974">
      <c r="F974" s="8"/>
    </row>
    <row r="975">
      <c r="F975" s="8"/>
    </row>
    <row r="976">
      <c r="F976" s="8"/>
    </row>
    <row r="977">
      <c r="F977" s="8"/>
    </row>
    <row r="978">
      <c r="F978" s="8"/>
    </row>
    <row r="979">
      <c r="F979" s="8"/>
    </row>
    <row r="980">
      <c r="F980" s="8"/>
    </row>
    <row r="981">
      <c r="F981" s="8"/>
    </row>
    <row r="982">
      <c r="F982" s="8"/>
    </row>
    <row r="983">
      <c r="F983" s="8"/>
    </row>
    <row r="984">
      <c r="F984" s="8"/>
    </row>
    <row r="985">
      <c r="F985" s="8"/>
    </row>
    <row r="986">
      <c r="F986" s="8"/>
    </row>
    <row r="987">
      <c r="F987" s="8"/>
    </row>
    <row r="988">
      <c r="F988" s="8"/>
    </row>
    <row r="989">
      <c r="F989" s="8"/>
    </row>
    <row r="990">
      <c r="F990" s="8"/>
    </row>
    <row r="991">
      <c r="F991" s="8"/>
    </row>
    <row r="992">
      <c r="F992" s="8"/>
    </row>
    <row r="993">
      <c r="F993" s="8"/>
    </row>
    <row r="994">
      <c r="F994" s="8"/>
    </row>
    <row r="995">
      <c r="F995" s="8"/>
    </row>
    <row r="996">
      <c r="F996" s="8"/>
    </row>
    <row r="997">
      <c r="F997" s="8"/>
    </row>
    <row r="998">
      <c r="F998" s="8"/>
    </row>
    <row r="999">
      <c r="F999" s="8"/>
    </row>
  </sheetData>
  <hyperlinks>
    <hyperlink r:id="rId1" ref="I2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0" t="s">
        <v>8</v>
      </c>
      <c r="C1" s="11" t="s">
        <v>9</v>
      </c>
      <c r="D1" s="12" t="s">
        <v>10</v>
      </c>
      <c r="E1" s="13" t="s">
        <v>11</v>
      </c>
      <c r="F1" s="14"/>
      <c r="G1" s="14"/>
      <c r="H1" s="15" t="s">
        <v>12</v>
      </c>
      <c r="I1" s="16"/>
      <c r="J1" s="17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18">
        <v>46091.0</v>
      </c>
      <c r="B2" s="19">
        <f>ifna(VLOOKUP(A2,'Toyota Motor Corporation (TM)'!A:F,6,0),"")</f>
        <v>221.01</v>
      </c>
      <c r="C2" s="20">
        <v>90.66</v>
      </c>
      <c r="D2" s="21">
        <f t="shared" ref="D2:E2" si="1">ifna(B2/B3-1,"")</f>
        <v>0</v>
      </c>
      <c r="E2" s="21">
        <f t="shared" si="1"/>
        <v>0.003986710963</v>
      </c>
      <c r="F2" s="14"/>
      <c r="G2" s="14"/>
      <c r="H2" s="22"/>
      <c r="I2" s="23" t="str">
        <f t="shared" ref="I2:J2" si="2">B1</f>
        <v>Toyota Motor Corporation (TM)</v>
      </c>
      <c r="J2" s="24" t="str">
        <f t="shared" si="2"/>
        <v>Volkswagen AG (VOW3.DE)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8">
        <v>46090.0</v>
      </c>
      <c r="B3" s="19">
        <f>ifna(VLOOKUP(A3,'Toyota Motor Corporation (TM)'!A:F,6,0),"")</f>
        <v>221.01</v>
      </c>
      <c r="C3" s="25">
        <f>ifna(VLOOKUP(A3,'Volkswagen AG (VOW3.DE)'!A:F,6,0),"")</f>
        <v>90.3</v>
      </c>
      <c r="D3" s="21">
        <f t="shared" ref="D3:E3" si="3">ifna(B3/B4-1,"")</f>
        <v>0.008533357671</v>
      </c>
      <c r="E3" s="21">
        <f t="shared" si="3"/>
        <v>0.003556345855</v>
      </c>
      <c r="F3" s="14"/>
      <c r="G3" s="14"/>
      <c r="H3" s="26"/>
      <c r="I3" s="27"/>
      <c r="J3" s="28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8">
        <v>46083.0</v>
      </c>
      <c r="B4" s="19">
        <f>ifna(VLOOKUP(A4,'Toyota Motor Corporation (TM)'!A:F,6,0),"")</f>
        <v>219.14</v>
      </c>
      <c r="C4" s="25">
        <f>ifna(VLOOKUP(A4,'Volkswagen AG (VOW3.DE)'!A:F,6,0),"")</f>
        <v>89.98</v>
      </c>
      <c r="D4" s="21">
        <f t="shared" ref="D4:E4" si="4">ifna(B4/B5-1,"")</f>
        <v>-0.09588249856</v>
      </c>
      <c r="E4" s="21">
        <f t="shared" si="4"/>
        <v>-0.1108695652</v>
      </c>
      <c r="F4" s="14"/>
      <c r="G4" s="14"/>
      <c r="H4" s="29" t="s">
        <v>13</v>
      </c>
      <c r="I4" s="21">
        <f t="shared" ref="I4:J4" si="5">MAX(D:D)</f>
        <v>0.117640083</v>
      </c>
      <c r="J4" s="30">
        <f t="shared" si="5"/>
        <v>0.1110496014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8">
        <v>46076.0</v>
      </c>
      <c r="B5" s="19">
        <f>ifna(VLOOKUP(A5,'Toyota Motor Corporation (TM)'!A:F,6,0),"")</f>
        <v>242.38</v>
      </c>
      <c r="C5" s="25">
        <f>ifna(VLOOKUP(A5,'Volkswagen AG (VOW3.DE)'!A:F,6,0),"")</f>
        <v>101.2</v>
      </c>
      <c r="D5" s="21">
        <f t="shared" ref="D5:E5" si="6">ifna(B5/B6-1,"")</f>
        <v>0.01160267112</v>
      </c>
      <c r="E5" s="21">
        <f t="shared" si="6"/>
        <v>-0.01268292683</v>
      </c>
      <c r="F5" s="14"/>
      <c r="G5" s="14"/>
      <c r="H5" s="29" t="s">
        <v>14</v>
      </c>
      <c r="I5" s="21">
        <f t="shared" ref="I5:J5" si="7">MIN(D:D)</f>
        <v>-0.1141165082</v>
      </c>
      <c r="J5" s="30">
        <f t="shared" si="7"/>
        <v>-0.111509716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8">
        <v>46069.0</v>
      </c>
      <c r="B6" s="19">
        <f>ifna(VLOOKUP(A6,'Toyota Motor Corporation (TM)'!A:F,6,0),"")</f>
        <v>239.6</v>
      </c>
      <c r="C6" s="25">
        <f>ifna(VLOOKUP(A6,'Volkswagen AG (VOW3.DE)'!A:F,6,0),"")</f>
        <v>102.5</v>
      </c>
      <c r="D6" s="21">
        <f t="shared" ref="D6:E6" si="8">ifna(B6/B7-1,"")</f>
        <v>-0.03499939587</v>
      </c>
      <c r="E6" s="21">
        <f t="shared" si="8"/>
        <v>-0.005819592629</v>
      </c>
      <c r="F6" s="14"/>
      <c r="G6" s="14"/>
      <c r="H6" s="29" t="s">
        <v>15</v>
      </c>
      <c r="I6" s="21">
        <f t="shared" ref="I6:J6" si="9">I4-I5</f>
        <v>0.2317565912</v>
      </c>
      <c r="J6" s="30">
        <f t="shared" si="9"/>
        <v>0.2225593174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8">
        <v>46062.0</v>
      </c>
      <c r="B7" s="19">
        <f>ifna(VLOOKUP(A7,'Toyota Motor Corporation (TM)'!A:F,6,0),"")</f>
        <v>248.29</v>
      </c>
      <c r="C7" s="25">
        <f>ifna(VLOOKUP(A7,'Volkswagen AG (VOW3.DE)'!A:F,6,0),"")</f>
        <v>103.1</v>
      </c>
      <c r="D7" s="21">
        <f t="shared" ref="D7:E7" si="10">ifna(B7/B8-1,"")</f>
        <v>0.01666530178</v>
      </c>
      <c r="E7" s="21">
        <f t="shared" si="10"/>
        <v>0.02332506203</v>
      </c>
      <c r="F7" s="14"/>
      <c r="G7" s="14"/>
      <c r="H7" s="29"/>
      <c r="I7" s="14"/>
      <c r="J7" s="31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8">
        <v>46055.0</v>
      </c>
      <c r="B8" s="19">
        <f>ifna(VLOOKUP(A8,'Toyota Motor Corporation (TM)'!A:F,6,0),"")</f>
        <v>244.22</v>
      </c>
      <c r="C8" s="25">
        <f>ifna(VLOOKUP(A8,'Volkswagen AG (VOW3.DE)'!A:F,6,0),"")</f>
        <v>100.75</v>
      </c>
      <c r="D8" s="21">
        <f t="shared" ref="D8:E8" si="11">ifna(B8/B9-1,"")</f>
        <v>0.07652296571</v>
      </c>
      <c r="E8" s="21">
        <f t="shared" si="11"/>
        <v>-0.0185094983</v>
      </c>
      <c r="F8" s="14"/>
      <c r="G8" s="14"/>
      <c r="H8" s="29" t="s">
        <v>16</v>
      </c>
      <c r="I8" s="21">
        <f t="shared" ref="I8:J8" si="12">_xlfn.PERCENTILE.INC(D:D,0.75)</f>
        <v>0.0266115352</v>
      </c>
      <c r="J8" s="30">
        <f t="shared" si="12"/>
        <v>0.03023772262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8">
        <v>46048.0</v>
      </c>
      <c r="B9" s="19">
        <f>ifna(VLOOKUP(A9,'Toyota Motor Corporation (TM)'!A:F,6,0),"")</f>
        <v>226.86</v>
      </c>
      <c r="C9" s="25">
        <f>ifna(VLOOKUP(A9,'Volkswagen AG (VOW3.DE)'!A:F,6,0),"")</f>
        <v>102.65</v>
      </c>
      <c r="D9" s="21">
        <f t="shared" ref="D9:E9" si="13">ifna(B9/B10-1,"")</f>
        <v>0.00256319604</v>
      </c>
      <c r="E9" s="21">
        <f t="shared" si="13"/>
        <v>-0.02701421801</v>
      </c>
      <c r="F9" s="14"/>
      <c r="G9" s="14"/>
      <c r="H9" s="29" t="s">
        <v>17</v>
      </c>
      <c r="I9" s="21">
        <f t="shared" ref="I9:J9" si="14">_xlfn.PERCENTILE.INC(D:D, 0.25)</f>
        <v>-0.02450062422</v>
      </c>
      <c r="J9" s="30">
        <f t="shared" si="14"/>
        <v>-0.02933188749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8">
        <v>46041.0</v>
      </c>
      <c r="B10" s="19">
        <f>ifna(VLOOKUP(A10,'Toyota Motor Corporation (TM)'!A:F,6,0),"")</f>
        <v>226.28</v>
      </c>
      <c r="C10" s="25">
        <f>ifna(VLOOKUP(A10,'Volkswagen AG (VOW3.DE)'!A:F,6,0),"")</f>
        <v>105.5</v>
      </c>
      <c r="D10" s="21">
        <f t="shared" ref="D10:E10" si="15">ifna(B10/B11-1,"")</f>
        <v>-0.02221069916</v>
      </c>
      <c r="E10" s="21">
        <f t="shared" si="15"/>
        <v>0.04043392505</v>
      </c>
      <c r="F10" s="14"/>
      <c r="G10" s="14"/>
      <c r="H10" s="29" t="s">
        <v>18</v>
      </c>
      <c r="I10" s="21">
        <f t="shared" ref="I10:J10" si="16">I8-I9</f>
        <v>0.05111215942</v>
      </c>
      <c r="J10" s="30">
        <f t="shared" si="16"/>
        <v>0.05956961012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8">
        <v>46034.0</v>
      </c>
      <c r="B11" s="19">
        <f>ifna(VLOOKUP(A11,'Toyota Motor Corporation (TM)'!A:F,6,0),"")</f>
        <v>231.42</v>
      </c>
      <c r="C11" s="25">
        <f>ifna(VLOOKUP(A11,'Volkswagen AG (VOW3.DE)'!A:F,6,0),"")</f>
        <v>101.4</v>
      </c>
      <c r="D11" s="21">
        <f t="shared" ref="D11:E11" si="17">ifna(B11/B12-1,"")</f>
        <v>0.04469122427</v>
      </c>
      <c r="E11" s="21">
        <f t="shared" si="17"/>
        <v>-0.02359171883</v>
      </c>
      <c r="F11" s="14"/>
      <c r="G11" s="14"/>
      <c r="H11" s="29" t="s">
        <v>19</v>
      </c>
      <c r="I11" s="21">
        <f t="shared" ref="I11:J11" si="18">I10*1.5</f>
        <v>0.07666823913</v>
      </c>
      <c r="J11" s="30">
        <f t="shared" si="18"/>
        <v>0.08935441518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8">
        <v>46027.0</v>
      </c>
      <c r="B12" s="19">
        <f>ifna(VLOOKUP(A12,'Toyota Motor Corporation (TM)'!A:F,6,0),"")</f>
        <v>221.52</v>
      </c>
      <c r="C12" s="25">
        <f>ifna(VLOOKUP(A12,'Volkswagen AG (VOW3.DE)'!A:F,6,0),"")</f>
        <v>103.85</v>
      </c>
      <c r="D12" s="21">
        <f t="shared" ref="D12:E12" si="19">ifna(B12/B13-1,"")</f>
        <v>0.01675310965</v>
      </c>
      <c r="E12" s="21">
        <f t="shared" si="19"/>
        <v>-0.02442461249</v>
      </c>
      <c r="F12" s="14"/>
      <c r="G12" s="14"/>
      <c r="H12" s="29" t="s">
        <v>20</v>
      </c>
      <c r="I12" s="21">
        <f t="shared" ref="I12:J12" si="20">I11+I8</f>
        <v>0.1032797743</v>
      </c>
      <c r="J12" s="30">
        <f t="shared" si="20"/>
        <v>0.1195921378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8">
        <v>46020.0</v>
      </c>
      <c r="B13" s="19">
        <f>ifna(VLOOKUP(A13,'Toyota Motor Corporation (TM)'!A:F,6,0),"")</f>
        <v>217.87</v>
      </c>
      <c r="C13" s="25">
        <f>ifna(VLOOKUP(A13,'Volkswagen AG (VOW3.DE)'!A:F,6,0),"")</f>
        <v>106.45</v>
      </c>
      <c r="D13" s="21">
        <f t="shared" ref="D13:E13" si="21">ifna(B13/B14-1,"")</f>
        <v>0.00577047364</v>
      </c>
      <c r="E13" s="21">
        <f t="shared" si="21"/>
        <v>0.02602409639</v>
      </c>
      <c r="F13" s="14"/>
      <c r="G13" s="14"/>
      <c r="H13" s="29" t="s">
        <v>21</v>
      </c>
      <c r="I13" s="21">
        <f t="shared" ref="I13:J13" si="22">I9-I11</f>
        <v>-0.1011688633</v>
      </c>
      <c r="J13" s="30">
        <f t="shared" si="22"/>
        <v>-0.1186863027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8">
        <v>46013.0</v>
      </c>
      <c r="B14" s="19">
        <f>ifna(VLOOKUP(A14,'Toyota Motor Corporation (TM)'!A:F,6,0),"")</f>
        <v>216.62</v>
      </c>
      <c r="C14" s="25">
        <f>ifna(VLOOKUP(A14,'Volkswagen AG (VOW3.DE)'!A:F,6,0),"")</f>
        <v>103.75</v>
      </c>
      <c r="D14" s="21">
        <f t="shared" ref="D14:E14" si="23">ifna(B14/B15-1,"")</f>
        <v>-0.01258090984</v>
      </c>
      <c r="E14" s="21">
        <f t="shared" si="23"/>
        <v>-0.002883229217</v>
      </c>
      <c r="F14" s="14"/>
      <c r="G14" s="14"/>
      <c r="H14" s="29" t="s">
        <v>22</v>
      </c>
      <c r="I14" s="21">
        <f t="shared" ref="I14:J14" si="24">AVERAGE(D:D)</f>
        <v>0.004083778747</v>
      </c>
      <c r="J14" s="30">
        <f t="shared" si="24"/>
        <v>-0.0007904387829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8">
        <v>46006.0</v>
      </c>
      <c r="B15" s="19">
        <f>ifna(VLOOKUP(A15,'Toyota Motor Corporation (TM)'!A:F,6,0),"")</f>
        <v>219.38</v>
      </c>
      <c r="C15" s="25">
        <f>ifna(VLOOKUP(A15,'Volkswagen AG (VOW3.DE)'!A:F,6,0),"")</f>
        <v>104.05</v>
      </c>
      <c r="D15" s="21">
        <f t="shared" ref="D15:E15" si="25">ifna(B15/B16-1,"")</f>
        <v>0.05410340188</v>
      </c>
      <c r="E15" s="21">
        <f t="shared" si="25"/>
        <v>-0.04189686924</v>
      </c>
      <c r="F15" s="14"/>
      <c r="G15" s="14"/>
      <c r="H15" s="29" t="s">
        <v>23</v>
      </c>
      <c r="I15" s="32">
        <f t="shared" ref="I15:J15" si="26">(I5-I14)/I19</f>
        <v>-2.715962359</v>
      </c>
      <c r="J15" s="33">
        <f t="shared" si="26"/>
        <v>-2.241342694</v>
      </c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8">
        <v>45999.0</v>
      </c>
      <c r="B16" s="19">
        <f>ifna(VLOOKUP(A16,'Toyota Motor Corporation (TM)'!A:F,6,0),"")</f>
        <v>208.12</v>
      </c>
      <c r="C16" s="25">
        <f>ifna(VLOOKUP(A16,'Volkswagen AG (VOW3.DE)'!A:F,6,0),"")</f>
        <v>108.6</v>
      </c>
      <c r="D16" s="21">
        <f t="shared" ref="D16:E16" si="27">ifna(B16/B17-1,"")</f>
        <v>0.05881155881</v>
      </c>
      <c r="E16" s="21">
        <f t="shared" si="27"/>
        <v>0.01590271282</v>
      </c>
      <c r="F16" s="14"/>
      <c r="G16" s="14"/>
      <c r="H16" s="29" t="s">
        <v>24</v>
      </c>
      <c r="I16" s="32">
        <f t="shared" ref="I16:J16" si="28">(I4-I14)/I19</f>
        <v>2.609254648</v>
      </c>
      <c r="J16" s="33">
        <f t="shared" si="28"/>
        <v>2.26403083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8">
        <v>45992.0</v>
      </c>
      <c r="B17" s="19">
        <f>ifna(VLOOKUP(A17,'Toyota Motor Corporation (TM)'!A:F,6,0),"")</f>
        <v>196.56</v>
      </c>
      <c r="C17" s="25">
        <f>ifna(VLOOKUP(A17,'Volkswagen AG (VOW3.DE)'!A:F,6,0),"")</f>
        <v>106.9</v>
      </c>
      <c r="D17" s="21">
        <f t="shared" ref="D17:E17" si="29">ifna(B17/B18-1,"")</f>
        <v>-0.02630405707</v>
      </c>
      <c r="E17" s="21">
        <f t="shared" si="29"/>
        <v>0.08660296808</v>
      </c>
      <c r="F17" s="14"/>
      <c r="G17" s="14"/>
      <c r="H17" s="29" t="s">
        <v>25</v>
      </c>
      <c r="I17" s="21">
        <f t="shared" ref="I17:J17" si="30">AVEDEV(D:D)*54/53</f>
        <v>0.03410294485</v>
      </c>
      <c r="J17" s="30">
        <f t="shared" si="30"/>
        <v>0.039549002</v>
      </c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18">
        <v>45985.0</v>
      </c>
      <c r="B18" s="19">
        <f>ifna(VLOOKUP(A18,'Toyota Motor Corporation (TM)'!A:F,6,0),"")</f>
        <v>201.87</v>
      </c>
      <c r="C18" s="25">
        <f>ifna(VLOOKUP(A18,'Volkswagen AG (VOW3.DE)'!A:F,6,0),"")</f>
        <v>98.38</v>
      </c>
      <c r="D18" s="21">
        <f t="shared" ref="D18:E18" si="31">ifna(B18/B19-1,"")</f>
        <v>0.02150592045</v>
      </c>
      <c r="E18" s="21">
        <f t="shared" si="31"/>
        <v>0.0386402027</v>
      </c>
      <c r="F18" s="14"/>
      <c r="G18" s="14"/>
      <c r="H18" s="29" t="s">
        <v>26</v>
      </c>
      <c r="I18" s="21">
        <f t="shared" ref="I18:J18" si="32">VAR(D:D)</f>
        <v>0.001894041838</v>
      </c>
      <c r="J18" s="30">
        <f t="shared" si="32"/>
        <v>0.002440225472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18">
        <v>45978.0</v>
      </c>
      <c r="B19" s="19">
        <f>ifna(VLOOKUP(A19,'Toyota Motor Corporation (TM)'!A:F,6,0),"")</f>
        <v>197.62</v>
      </c>
      <c r="C19" s="25">
        <f>ifna(VLOOKUP(A19,'Volkswagen AG (VOW3.DE)'!A:F,6,0),"")</f>
        <v>94.72</v>
      </c>
      <c r="D19" s="21">
        <f t="shared" ref="D19:E19" si="33">ifna(B19/B20-1,"")</f>
        <v>-0.03165425323</v>
      </c>
      <c r="E19" s="21">
        <f t="shared" si="33"/>
        <v>-0.03010444399</v>
      </c>
      <c r="F19" s="14"/>
      <c r="G19" s="14"/>
      <c r="H19" s="29" t="s">
        <v>27</v>
      </c>
      <c r="I19" s="21">
        <f t="shared" ref="I19:J19" si="34">_xlfn.STDEV.S(D:D)</f>
        <v>0.04352059097</v>
      </c>
      <c r="J19" s="30">
        <f t="shared" si="34"/>
        <v>0.04939863836</v>
      </c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18">
        <v>45971.0</v>
      </c>
      <c r="B20" s="19">
        <f>ifna(VLOOKUP(A20,'Toyota Motor Corporation (TM)'!A:F,6,0),"")</f>
        <v>204.08</v>
      </c>
      <c r="C20" s="25">
        <f>ifna(VLOOKUP(A20,'Volkswagen AG (VOW3.DE)'!A:F,6,0),"")</f>
        <v>97.66</v>
      </c>
      <c r="D20" s="21">
        <f t="shared" ref="D20:E20" si="35">ifna(B20/B21-1,"")</f>
        <v>0.01039706902</v>
      </c>
      <c r="E20" s="21">
        <f t="shared" si="35"/>
        <v>0.0521439345</v>
      </c>
      <c r="F20" s="14"/>
      <c r="G20" s="14"/>
      <c r="H20" s="34" t="s">
        <v>28</v>
      </c>
      <c r="I20" s="35">
        <f t="shared" ref="I20:J20" si="36">I19/I14</f>
        <v>10.65694144</v>
      </c>
      <c r="J20" s="36">
        <f t="shared" si="36"/>
        <v>-62.4952108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18">
        <v>45964.0</v>
      </c>
      <c r="B21" s="19">
        <f>ifna(VLOOKUP(A21,'Toyota Motor Corporation (TM)'!A:F,6,0),"")</f>
        <v>201.98</v>
      </c>
      <c r="C21" s="25">
        <f>ifna(VLOOKUP(A21,'Volkswagen AG (VOW3.DE)'!A:F,6,0),"")</f>
        <v>92.82</v>
      </c>
      <c r="D21" s="21">
        <f t="shared" ref="D21:E21" si="37">ifna(B21/B22-1,"")</f>
        <v>-0.01082325285</v>
      </c>
      <c r="E21" s="21">
        <f t="shared" si="37"/>
        <v>0.0288184438</v>
      </c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18">
        <v>45957.0</v>
      </c>
      <c r="B22" s="19">
        <f>ifna(VLOOKUP(A22,'Toyota Motor Corporation (TM)'!A:F,6,0),"")</f>
        <v>204.19</v>
      </c>
      <c r="C22" s="25">
        <f>ifna(VLOOKUP(A22,'Volkswagen AG (VOW3.DE)'!A:F,6,0),"")</f>
        <v>90.22</v>
      </c>
      <c r="D22" s="21">
        <f t="shared" ref="D22:E22" si="38">ifna(B22/B23-1,"")</f>
        <v>-0.005745727224</v>
      </c>
      <c r="E22" s="21">
        <f t="shared" si="38"/>
        <v>-0.003314184711</v>
      </c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18">
        <v>45950.0</v>
      </c>
      <c r="B23" s="19">
        <f>ifna(VLOOKUP(A23,'Toyota Motor Corporation (TM)'!A:F,6,0),"")</f>
        <v>205.37</v>
      </c>
      <c r="C23" s="25">
        <f>ifna(VLOOKUP(A23,'Volkswagen AG (VOW3.DE)'!A:F,6,0),"")</f>
        <v>90.52</v>
      </c>
      <c r="D23" s="21">
        <f t="shared" ref="D23:E23" si="39">ifna(B23/B24-1,"")</f>
        <v>0.03811353182</v>
      </c>
      <c r="E23" s="21">
        <f t="shared" si="39"/>
        <v>-0.007456140351</v>
      </c>
      <c r="F23" s="14"/>
      <c r="G23" s="14"/>
      <c r="H23" s="26" t="s">
        <v>29</v>
      </c>
      <c r="I23" s="37">
        <f>_xlfn.COVARIANCE.S(D:D,E:E)</f>
        <v>0.001115270638</v>
      </c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18">
        <v>45943.0</v>
      </c>
      <c r="B24" s="19">
        <f>ifna(VLOOKUP(A24,'Toyota Motor Corporation (TM)'!A:F,6,0),"")</f>
        <v>197.83</v>
      </c>
      <c r="C24" s="25">
        <f>ifna(VLOOKUP(A24,'Volkswagen AG (VOW3.DE)'!A:F,6,0),"")</f>
        <v>91.2</v>
      </c>
      <c r="D24" s="21">
        <f t="shared" ref="D24:E24" si="40">ifna(B24/B25-1,"")</f>
        <v>0.06808120073</v>
      </c>
      <c r="E24" s="21">
        <f t="shared" si="40"/>
        <v>0.02288021534</v>
      </c>
      <c r="F24" s="14"/>
      <c r="G24" s="14"/>
      <c r="H24" s="34" t="s">
        <v>30</v>
      </c>
      <c r="I24" s="38">
        <f>CORREL(D:D,E:E)</f>
        <v>0.5204903348</v>
      </c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8">
        <v>45936.0</v>
      </c>
      <c r="B25" s="19">
        <f>ifna(VLOOKUP(A25,'Toyota Motor Corporation (TM)'!A:F,6,0),"")</f>
        <v>185.22</v>
      </c>
      <c r="C25" s="25">
        <f>ifna(VLOOKUP(A25,'Volkswagen AG (VOW3.DE)'!A:F,6,0),"")</f>
        <v>89.16</v>
      </c>
      <c r="D25" s="21">
        <f t="shared" ref="D25:E25" si="41">ifna(B25/B26-1,"")</f>
        <v>-0.04815252582</v>
      </c>
      <c r="E25" s="21">
        <f t="shared" si="41"/>
        <v>-0.04416809605</v>
      </c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8">
        <v>45929.0</v>
      </c>
      <c r="B26" s="19">
        <f>ifna(VLOOKUP(A26,'Toyota Motor Corporation (TM)'!A:F,6,0),"")</f>
        <v>194.59</v>
      </c>
      <c r="C26" s="25">
        <f>ifna(VLOOKUP(A26,'Volkswagen AG (VOW3.DE)'!A:F,6,0),"")</f>
        <v>93.28</v>
      </c>
      <c r="D26" s="21">
        <f t="shared" ref="D26:E26" si="42">ifna(B26/B27-1,"")</f>
        <v>-0.01771832408</v>
      </c>
      <c r="E26" s="21">
        <f t="shared" si="42"/>
        <v>0.02935334363</v>
      </c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8">
        <v>45922.0</v>
      </c>
      <c r="B27" s="19">
        <f>ifna(VLOOKUP(A27,'Toyota Motor Corporation (TM)'!A:F,6,0),"")</f>
        <v>198.1</v>
      </c>
      <c r="C27" s="25">
        <f>ifna(VLOOKUP(A27,'Volkswagen AG (VOW3.DE)'!A:F,6,0),"")</f>
        <v>90.62</v>
      </c>
      <c r="D27" s="21">
        <f t="shared" ref="D27:E27" si="43">ifna(B27/B28-1,"")</f>
        <v>-0.004272430259</v>
      </c>
      <c r="E27" s="21">
        <f t="shared" si="43"/>
        <v>-0.06846217105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8">
        <v>45915.0</v>
      </c>
      <c r="B28" s="19">
        <f>ifna(VLOOKUP(A28,'Toyota Motor Corporation (TM)'!A:F,6,0),"")</f>
        <v>198.95</v>
      </c>
      <c r="C28" s="25">
        <f>ifna(VLOOKUP(A28,'Volkswagen AG (VOW3.DE)'!A:F,6,0),"")</f>
        <v>97.28</v>
      </c>
      <c r="D28" s="21">
        <f t="shared" ref="D28:E28" si="44">ifna(B28/B29-1,"")</f>
        <v>0.01437821853</v>
      </c>
      <c r="E28" s="21">
        <f t="shared" si="44"/>
        <v>-0.0462745098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8">
        <v>45908.0</v>
      </c>
      <c r="B29" s="19">
        <f>ifna(VLOOKUP(A29,'Toyota Motor Corporation (TM)'!A:F,6,0),"")</f>
        <v>196.13</v>
      </c>
      <c r="C29" s="25">
        <f>ifna(VLOOKUP(A29,'Volkswagen AG (VOW3.DE)'!A:F,6,0),"")</f>
        <v>102</v>
      </c>
      <c r="D29" s="21">
        <f t="shared" ref="D29:E29" si="45">ifna(B29/B30-1,"")</f>
        <v>-0.01748321811</v>
      </c>
      <c r="E29" s="21">
        <f t="shared" si="45"/>
        <v>0.02081665332</v>
      </c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8">
        <v>45901.0</v>
      </c>
      <c r="B30" s="19">
        <f>ifna(VLOOKUP(A30,'Toyota Motor Corporation (TM)'!A:F,6,0),"")</f>
        <v>199.62</v>
      </c>
      <c r="C30" s="25">
        <f>ifna(VLOOKUP(A30,'Volkswagen AG (VOW3.DE)'!A:F,6,0),"")</f>
        <v>99.92</v>
      </c>
      <c r="D30" s="21">
        <f t="shared" ref="D30:E30" si="46">ifna(B30/B31-1,"")</f>
        <v>0.02595466927</v>
      </c>
      <c r="E30" s="21">
        <f t="shared" si="46"/>
        <v>-0.003291770574</v>
      </c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8">
        <v>45894.0</v>
      </c>
      <c r="B31" s="19">
        <f>ifna(VLOOKUP(A31,'Toyota Motor Corporation (TM)'!A:F,6,0),"")</f>
        <v>194.57</v>
      </c>
      <c r="C31" s="25">
        <f>ifna(VLOOKUP(A31,'Volkswagen AG (VOW3.DE)'!A:F,6,0),"")</f>
        <v>100.25</v>
      </c>
      <c r="D31" s="21">
        <f t="shared" ref="D31:E31" si="47">ifna(B31/B32-1,"")</f>
        <v>-0.03376868451</v>
      </c>
      <c r="E31" s="21">
        <f t="shared" si="47"/>
        <v>-0.02099609375</v>
      </c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8">
        <v>45887.0</v>
      </c>
      <c r="B32" s="19">
        <f>ifna(VLOOKUP(A32,'Toyota Motor Corporation (TM)'!A:F,6,0),"")</f>
        <v>201.37</v>
      </c>
      <c r="C32" s="25">
        <f>ifna(VLOOKUP(A32,'Volkswagen AG (VOW3.DE)'!A:F,6,0),"")</f>
        <v>102.4</v>
      </c>
      <c r="D32" s="21">
        <f t="shared" ref="D32:E32" si="48">ifna(B32/B33-1,"")</f>
        <v>0.03981204172</v>
      </c>
      <c r="E32" s="21">
        <f t="shared" si="48"/>
        <v>0.02997384832</v>
      </c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8">
        <v>45880.0</v>
      </c>
      <c r="B33" s="19">
        <f>ifna(VLOOKUP(A33,'Toyota Motor Corporation (TM)'!A:F,6,0),"")</f>
        <v>193.66</v>
      </c>
      <c r="C33" s="25">
        <f>ifna(VLOOKUP(A33,'Volkswagen AG (VOW3.DE)'!A:F,6,0),"")</f>
        <v>99.42</v>
      </c>
      <c r="D33" s="21">
        <f t="shared" ref="D33:E33" si="49">ifna(B33/B34-1,"")</f>
        <v>0.0266115352</v>
      </c>
      <c r="E33" s="21">
        <f t="shared" si="49"/>
        <v>0.04235688824</v>
      </c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8">
        <v>45873.0</v>
      </c>
      <c r="B34" s="19">
        <f>ifna(VLOOKUP(A34,'Toyota Motor Corporation (TM)'!A:F,6,0),"")</f>
        <v>188.64</v>
      </c>
      <c r="C34" s="25">
        <f>ifna(VLOOKUP(A34,'Volkswagen AG (VOW3.DE)'!A:F,6,0),"")</f>
        <v>95.38</v>
      </c>
      <c r="D34" s="21">
        <f t="shared" ref="D34:E34" si="50">ifna(B34/B35-1,"")</f>
        <v>0.04980800267</v>
      </c>
      <c r="E34" s="21">
        <f t="shared" si="50"/>
        <v>0.06976222521</v>
      </c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8">
        <v>45866.0</v>
      </c>
      <c r="B35" s="19">
        <f>ifna(VLOOKUP(A35,'Toyota Motor Corporation (TM)'!A:F,6,0),"")</f>
        <v>179.69</v>
      </c>
      <c r="C35" s="25">
        <f>ifna(VLOOKUP(A35,'Volkswagen AG (VOW3.DE)'!A:F,6,0),"")</f>
        <v>89.16</v>
      </c>
      <c r="D35" s="21">
        <f t="shared" ref="D35:E35" si="51">ifna(B35/B36-1,"")</f>
        <v>-0.04668682689</v>
      </c>
      <c r="E35" s="21">
        <f t="shared" si="51"/>
        <v>-0.111509716</v>
      </c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8">
        <v>45859.0</v>
      </c>
      <c r="B36" s="19">
        <f>ifna(VLOOKUP(A36,'Toyota Motor Corporation (TM)'!A:F,6,0),"")</f>
        <v>188.49</v>
      </c>
      <c r="C36" s="25">
        <f>ifna(VLOOKUP(A36,'Volkswagen AG (VOW3.DE)'!A:F,6,0),"")</f>
        <v>100.35</v>
      </c>
      <c r="D36" s="21">
        <f t="shared" ref="D36:E36" si="52">ifna(B36/B37-1,"")</f>
        <v>0.117640083</v>
      </c>
      <c r="E36" s="21">
        <f t="shared" si="52"/>
        <v>0.1110496014</v>
      </c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8">
        <v>45852.0</v>
      </c>
      <c r="B37" s="19">
        <f>ifna(VLOOKUP(A37,'Toyota Motor Corporation (TM)'!A:F,6,0),"")</f>
        <v>168.65</v>
      </c>
      <c r="C37" s="25">
        <f>ifna(VLOOKUP(A37,'Volkswagen AG (VOW3.DE)'!A:F,6,0),"")</f>
        <v>90.32</v>
      </c>
      <c r="D37" s="21">
        <f t="shared" ref="D37:E37" si="53">ifna(B37/B38-1,"")</f>
        <v>-0.009456125925</v>
      </c>
      <c r="E37" s="21">
        <f t="shared" si="53"/>
        <v>-0.03894445627</v>
      </c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8">
        <v>45845.0</v>
      </c>
      <c r="B38" s="19">
        <f>ifna(VLOOKUP(A38,'Toyota Motor Corporation (TM)'!A:F,6,0),"")</f>
        <v>170.26</v>
      </c>
      <c r="C38" s="25">
        <f>ifna(VLOOKUP(A38,'Volkswagen AG (VOW3.DE)'!A:F,6,0),"")</f>
        <v>93.98</v>
      </c>
      <c r="D38" s="21">
        <f t="shared" ref="D38:E38" si="54">ifna(B38/B39-1,"")</f>
        <v>-0.02647378352</v>
      </c>
      <c r="E38" s="21">
        <f t="shared" si="54"/>
        <v>0.04399022439</v>
      </c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8">
        <v>45838.0</v>
      </c>
      <c r="B39" s="19">
        <f>ifna(VLOOKUP(A39,'Toyota Motor Corporation (TM)'!A:F,6,0),"")</f>
        <v>174.89</v>
      </c>
      <c r="C39" s="25">
        <f>ifna(VLOOKUP(A39,'Volkswagen AG (VOW3.DE)'!A:F,6,0),"")</f>
        <v>90.02</v>
      </c>
      <c r="D39" s="21">
        <f t="shared" ref="D39:E39" si="55">ifna(B39/B40-1,"")</f>
        <v>-0.004836690566</v>
      </c>
      <c r="E39" s="21">
        <f t="shared" si="55"/>
        <v>-0.01445149989</v>
      </c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8">
        <v>45831.0</v>
      </c>
      <c r="B40" s="19">
        <f>ifna(VLOOKUP(A40,'Toyota Motor Corporation (TM)'!A:F,6,0),"")</f>
        <v>175.74</v>
      </c>
      <c r="C40" s="25">
        <f>ifna(VLOOKUP(A40,'Volkswagen AG (VOW3.DE)'!A:F,6,0),"")</f>
        <v>91.34</v>
      </c>
      <c r="D40" s="21">
        <f t="shared" ref="D40:E40" si="56">ifna(B40/B41-1,"")</f>
        <v>0.01937354988</v>
      </c>
      <c r="E40" s="21">
        <f t="shared" si="56"/>
        <v>0.04627720504</v>
      </c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8">
        <v>45824.0</v>
      </c>
      <c r="B41" s="19">
        <f>ifna(VLOOKUP(A41,'Toyota Motor Corporation (TM)'!A:F,6,0),"")</f>
        <v>172.4</v>
      </c>
      <c r="C41" s="25">
        <f>ifna(VLOOKUP(A41,'Volkswagen AG (VOW3.DE)'!A:F,6,0),"")</f>
        <v>87.3</v>
      </c>
      <c r="D41" s="21">
        <f t="shared" ref="D41:E41" si="57">ifna(B41/B42-1,"")</f>
        <v>-0.03552447552</v>
      </c>
      <c r="E41" s="21">
        <f t="shared" si="57"/>
        <v>-0.01733453399</v>
      </c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8">
        <v>45817.0</v>
      </c>
      <c r="B42" s="19">
        <f>ifna(VLOOKUP(A42,'Toyota Motor Corporation (TM)'!A:F,6,0),"")</f>
        <v>178.75</v>
      </c>
      <c r="C42" s="25">
        <f>ifna(VLOOKUP(A42,'Volkswagen AG (VOW3.DE)'!A:F,6,0),"")</f>
        <v>88.84</v>
      </c>
      <c r="D42" s="21">
        <f t="shared" ref="D42:E42" si="58">ifna(B42/B43-1,"")</f>
        <v>-0.03451442152</v>
      </c>
      <c r="E42" s="21">
        <f t="shared" si="58"/>
        <v>-0.03055434308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8">
        <v>45810.0</v>
      </c>
      <c r="B43" s="19">
        <f>ifna(VLOOKUP(A43,'Toyota Motor Corporation (TM)'!A:F,6,0),"")</f>
        <v>185.14</v>
      </c>
      <c r="C43" s="25">
        <f>ifna(VLOOKUP(A43,'Volkswagen AG (VOW3.DE)'!A:F,6,0),"")</f>
        <v>91.64</v>
      </c>
      <c r="D43" s="21">
        <f t="shared" ref="D43:E43" si="59">ifna(B43/B44-1,"")</f>
        <v>-0.02849346697</v>
      </c>
      <c r="E43" s="21">
        <f t="shared" si="59"/>
        <v>-0.03901006711</v>
      </c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8">
        <v>45803.0</v>
      </c>
      <c r="B44" s="19">
        <f>ifna(VLOOKUP(A44,'Toyota Motor Corporation (TM)'!A:F,6,0),"")</f>
        <v>190.57</v>
      </c>
      <c r="C44" s="25">
        <f>ifna(VLOOKUP(A44,'Volkswagen AG (VOW3.DE)'!A:F,6,0),"")</f>
        <v>95.36</v>
      </c>
      <c r="D44" s="21">
        <f t="shared" ref="D44:E44" si="60">ifna(B44/B45-1,"")</f>
        <v>0.04536478332</v>
      </c>
      <c r="E44" s="21">
        <f t="shared" si="60"/>
        <v>0.08709530324</v>
      </c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8">
        <v>45796.0</v>
      </c>
      <c r="B45" s="19">
        <f>ifna(VLOOKUP(A45,'Toyota Motor Corporation (TM)'!A:F,6,0),"")</f>
        <v>182.3</v>
      </c>
      <c r="C45" s="25">
        <f>ifna(VLOOKUP(A45,'Volkswagen AG (VOW3.DE)'!A:F,6,0),"")</f>
        <v>87.72</v>
      </c>
      <c r="D45" s="21">
        <f t="shared" ref="D45:E45" si="61">ifna(B45/B46-1,"")</f>
        <v>-0.004858343796</v>
      </c>
      <c r="E45" s="21">
        <f t="shared" si="61"/>
        <v>-0.09089024769</v>
      </c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8">
        <v>45789.0</v>
      </c>
      <c r="B46" s="19">
        <f>ifna(VLOOKUP(A46,'Toyota Motor Corporation (TM)'!A:F,6,0),"")</f>
        <v>183.19</v>
      </c>
      <c r="C46" s="25">
        <f>ifna(VLOOKUP(A46,'Volkswagen AG (VOW3.DE)'!A:F,6,0),"")</f>
        <v>96.49</v>
      </c>
      <c r="D46" s="21">
        <f t="shared" ref="D46:E46" si="62">ifna(B46/B47-1,"")</f>
        <v>-0.02314296379</v>
      </c>
      <c r="E46" s="21">
        <f t="shared" si="62"/>
        <v>0.03032568073</v>
      </c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8">
        <v>45782.0</v>
      </c>
      <c r="B47" s="19">
        <f>ifna(VLOOKUP(A47,'Toyota Motor Corporation (TM)'!A:F,6,0),"")</f>
        <v>187.53</v>
      </c>
      <c r="C47" s="25">
        <f>ifna(VLOOKUP(A47,'Volkswagen AG (VOW3.DE)'!A:F,6,0),"")</f>
        <v>93.65</v>
      </c>
      <c r="D47" s="21">
        <f t="shared" ref="D47:E47" si="63">ifna(B47/B48-1,"")</f>
        <v>-0.02450062422</v>
      </c>
      <c r="E47" s="21">
        <f t="shared" si="63"/>
        <v>0.03423522916</v>
      </c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8">
        <v>45775.0</v>
      </c>
      <c r="B48" s="19">
        <f>ifna(VLOOKUP(A48,'Toyota Motor Corporation (TM)'!A:F,6,0),"")</f>
        <v>192.24</v>
      </c>
      <c r="C48" s="25">
        <f>ifna(VLOOKUP(A48,'Volkswagen AG (VOW3.DE)'!A:F,6,0),"")</f>
        <v>90.55</v>
      </c>
      <c r="D48" s="21">
        <f t="shared" ref="D48:E48" si="64">ifna(B48/B49-1,"")</f>
        <v>0.02141225227</v>
      </c>
      <c r="E48" s="21">
        <f t="shared" si="64"/>
        <v>-0.01264856613</v>
      </c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8">
        <v>45768.0</v>
      </c>
      <c r="B49" s="19">
        <f>ifna(VLOOKUP(A49,'Toyota Motor Corporation (TM)'!A:F,6,0),"")</f>
        <v>188.21</v>
      </c>
      <c r="C49" s="25">
        <f>ifna(VLOOKUP(A49,'Volkswagen AG (VOW3.DE)'!A:F,6,0),"")</f>
        <v>91.71</v>
      </c>
      <c r="D49" s="21">
        <f t="shared" ref="D49:E49" si="65">ifna(B49/B50-1,"")</f>
        <v>0.0670710965</v>
      </c>
      <c r="E49" s="21">
        <f t="shared" si="65"/>
        <v>0.09178571429</v>
      </c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8">
        <v>45761.0</v>
      </c>
      <c r="B50" s="19">
        <f>ifna(VLOOKUP(A50,'Toyota Motor Corporation (TM)'!A:F,6,0),"")</f>
        <v>176.38</v>
      </c>
      <c r="C50" s="25">
        <f>ifna(VLOOKUP(A50,'Volkswagen AG (VOW3.DE)'!A:F,6,0),"")</f>
        <v>84</v>
      </c>
      <c r="D50" s="21">
        <f t="shared" ref="D50:E50" si="66">ifna(B50/B51-1,"")</f>
        <v>0.04108133632</v>
      </c>
      <c r="E50" s="21">
        <f t="shared" si="66"/>
        <v>0.04895104895</v>
      </c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8">
        <v>45754.0</v>
      </c>
      <c r="B51" s="19">
        <f>ifna(VLOOKUP(A51,'Toyota Motor Corporation (TM)'!A:F,6,0),"")</f>
        <v>169.42</v>
      </c>
      <c r="C51" s="25">
        <f>ifna(VLOOKUP(A51,'Volkswagen AG (VOW3.DE)'!A:F,6,0),"")</f>
        <v>80.08</v>
      </c>
      <c r="D51" s="21">
        <f t="shared" ref="D51:E51" si="67">ifna(B51/B52-1,"")</f>
        <v>0.08902744745</v>
      </c>
      <c r="E51" s="21">
        <f t="shared" si="67"/>
        <v>-0.02448532099</v>
      </c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8">
        <v>45747.0</v>
      </c>
      <c r="B52" s="19">
        <f>ifna(VLOOKUP(A52,'Toyota Motor Corporation (TM)'!A:F,6,0),"")</f>
        <v>155.57</v>
      </c>
      <c r="C52" s="25">
        <f>ifna(VLOOKUP(A52,'Volkswagen AG (VOW3.DE)'!A:F,6,0),"")</f>
        <v>82.09</v>
      </c>
      <c r="D52" s="21">
        <f t="shared" ref="D52:E52" si="68">ifna(B52/B53-1,"")</f>
        <v>0</v>
      </c>
      <c r="E52" s="21">
        <f t="shared" si="68"/>
        <v>0</v>
      </c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8">
        <v>45747.0</v>
      </c>
      <c r="B53" s="19">
        <f>ifna(VLOOKUP(A53,'Toyota Motor Corporation (TM)'!A:F,6,0),"")</f>
        <v>155.57</v>
      </c>
      <c r="C53" s="25">
        <f>ifna(VLOOKUP(A53,'Volkswagen AG (VOW3.DE)'!A:F,6,0),"")</f>
        <v>82.09</v>
      </c>
      <c r="D53" s="21">
        <f t="shared" ref="D53:E53" si="69">ifna(B53/B54-1,"")</f>
        <v>-0.1141165082</v>
      </c>
      <c r="E53" s="21">
        <f t="shared" si="69"/>
        <v>-0.09751539138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8">
        <v>45740.0</v>
      </c>
      <c r="B54" s="19">
        <f>ifna(VLOOKUP(A54,'Toyota Motor Corporation (TM)'!A:F,6,0),"")</f>
        <v>175.61</v>
      </c>
      <c r="C54" s="25">
        <f>ifna(VLOOKUP(A54,'Volkswagen AG (VOW3.DE)'!A:F,6,0),"")</f>
        <v>90.96</v>
      </c>
      <c r="D54" s="21">
        <f t="shared" ref="D54:E54" si="70">ifna(B54/B55-1,"")</f>
        <v>-0.0610095177</v>
      </c>
      <c r="E54" s="21">
        <f t="shared" si="70"/>
        <v>-0.0443370456</v>
      </c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8">
        <v>45733.0</v>
      </c>
      <c r="B55" s="19">
        <f>ifna(VLOOKUP(A55,'Toyota Motor Corporation (TM)'!A:F,6,0),"")</f>
        <v>187.02</v>
      </c>
      <c r="C55" s="25">
        <f>ifna(VLOOKUP(A55,'Volkswagen AG (VOW3.DE)'!A:F,6,0),"")</f>
        <v>95.18</v>
      </c>
      <c r="D55" s="21"/>
      <c r="E55" s="21">
        <f>ifna(C55/C56-1,"")</f>
        <v>-0.05753044856</v>
      </c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8">
        <v>45726.0</v>
      </c>
      <c r="B56" s="14"/>
      <c r="C56" s="25">
        <f>ifna(VLOOKUP(A56,'Volkswagen AG (VOW3.DE)'!A:F,6,0),"")</f>
        <v>100.99</v>
      </c>
      <c r="D56" s="21"/>
      <c r="E56" s="21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39"/>
      <c r="B57" s="14"/>
      <c r="C57" s="40"/>
      <c r="D57" s="41"/>
      <c r="E57" s="41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39"/>
      <c r="B58" s="14"/>
      <c r="C58" s="14"/>
      <c r="D58" s="41"/>
      <c r="E58" s="41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39"/>
      <c r="B59" s="14"/>
      <c r="C59" s="14"/>
      <c r="D59" s="41"/>
      <c r="E59" s="41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39"/>
      <c r="B60" s="14"/>
      <c r="C60" s="14"/>
      <c r="D60" s="41"/>
      <c r="E60" s="41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39"/>
      <c r="B61" s="14"/>
      <c r="C61" s="14"/>
      <c r="D61" s="41"/>
      <c r="E61" s="41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39"/>
      <c r="B62" s="14"/>
      <c r="C62" s="14"/>
      <c r="D62" s="41"/>
      <c r="E62" s="41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39"/>
      <c r="B63" s="14"/>
      <c r="C63" s="14"/>
      <c r="D63" s="41"/>
      <c r="E63" s="41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39"/>
      <c r="B64" s="14"/>
      <c r="C64" s="14"/>
      <c r="D64" s="41"/>
      <c r="E64" s="41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39"/>
      <c r="B65" s="14"/>
      <c r="C65" s="14"/>
      <c r="D65" s="41"/>
      <c r="E65" s="41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39"/>
      <c r="B66" s="14"/>
      <c r="C66" s="14"/>
      <c r="D66" s="41"/>
      <c r="E66" s="41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39"/>
      <c r="B67" s="14"/>
      <c r="C67" s="14"/>
      <c r="D67" s="41"/>
      <c r="E67" s="41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39"/>
      <c r="B68" s="14"/>
      <c r="C68" s="14"/>
      <c r="D68" s="41"/>
      <c r="E68" s="41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39"/>
      <c r="B69" s="14"/>
      <c r="C69" s="14"/>
      <c r="D69" s="41"/>
      <c r="E69" s="41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39"/>
      <c r="B70" s="14"/>
      <c r="C70" s="14"/>
      <c r="D70" s="41"/>
      <c r="E70" s="41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39"/>
      <c r="B71" s="14"/>
      <c r="C71" s="14"/>
      <c r="D71" s="41"/>
      <c r="E71" s="41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39"/>
      <c r="B72" s="14"/>
      <c r="C72" s="14"/>
      <c r="D72" s="41"/>
      <c r="E72" s="41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39"/>
      <c r="B73" s="14"/>
      <c r="C73" s="14"/>
      <c r="D73" s="41"/>
      <c r="E73" s="41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39"/>
      <c r="B74" s="14"/>
      <c r="C74" s="14"/>
      <c r="D74" s="41"/>
      <c r="E74" s="41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39"/>
      <c r="B75" s="14"/>
      <c r="C75" s="14"/>
      <c r="D75" s="41"/>
      <c r="E75" s="41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39"/>
      <c r="B76" s="14"/>
      <c r="C76" s="14"/>
      <c r="D76" s="41"/>
      <c r="E76" s="41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39"/>
      <c r="B77" s="14"/>
      <c r="C77" s="14"/>
      <c r="D77" s="41"/>
      <c r="E77" s="41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39"/>
      <c r="B78" s="14"/>
      <c r="C78" s="14"/>
      <c r="D78" s="41"/>
      <c r="E78" s="41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39"/>
      <c r="B79" s="14"/>
      <c r="C79" s="14"/>
      <c r="D79" s="41"/>
      <c r="E79" s="41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39"/>
      <c r="B80" s="14"/>
      <c r="C80" s="14"/>
      <c r="D80" s="41"/>
      <c r="E80" s="41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39"/>
      <c r="B81" s="14"/>
      <c r="C81" s="14"/>
      <c r="D81" s="41"/>
      <c r="E81" s="41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39"/>
      <c r="B82" s="14"/>
      <c r="C82" s="14"/>
      <c r="D82" s="41"/>
      <c r="E82" s="41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39"/>
      <c r="B83" s="14"/>
      <c r="C83" s="14"/>
      <c r="D83" s="41"/>
      <c r="E83" s="41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39"/>
      <c r="B84" s="14"/>
      <c r="C84" s="14"/>
      <c r="D84" s="41"/>
      <c r="E84" s="41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39"/>
      <c r="B85" s="14"/>
      <c r="C85" s="14"/>
      <c r="D85" s="41"/>
      <c r="E85" s="41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39"/>
      <c r="B86" s="14"/>
      <c r="C86" s="14"/>
      <c r="D86" s="41"/>
      <c r="E86" s="41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39"/>
      <c r="B87" s="14"/>
      <c r="C87" s="14"/>
      <c r="D87" s="41"/>
      <c r="E87" s="41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39"/>
      <c r="B88" s="14"/>
      <c r="C88" s="14"/>
      <c r="D88" s="41"/>
      <c r="E88" s="41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39"/>
      <c r="B89" s="14"/>
      <c r="C89" s="14"/>
      <c r="D89" s="41"/>
      <c r="E89" s="41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39"/>
      <c r="B90" s="14"/>
      <c r="C90" s="14"/>
      <c r="D90" s="41"/>
      <c r="E90" s="41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39"/>
      <c r="B91" s="14"/>
      <c r="C91" s="14"/>
      <c r="D91" s="41"/>
      <c r="E91" s="41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39"/>
      <c r="B92" s="14"/>
      <c r="C92" s="14"/>
      <c r="D92" s="41"/>
      <c r="E92" s="41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39"/>
      <c r="B93" s="14"/>
      <c r="C93" s="14"/>
      <c r="D93" s="41"/>
      <c r="E93" s="41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39"/>
      <c r="B94" s="14"/>
      <c r="C94" s="14"/>
      <c r="D94" s="41"/>
      <c r="E94" s="41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39"/>
      <c r="B95" s="14"/>
      <c r="C95" s="14"/>
      <c r="D95" s="41"/>
      <c r="E95" s="41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39"/>
      <c r="B96" s="14"/>
      <c r="C96" s="14"/>
      <c r="D96" s="41"/>
      <c r="E96" s="41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39"/>
      <c r="B97" s="14"/>
      <c r="C97" s="14"/>
      <c r="D97" s="41"/>
      <c r="E97" s="41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39"/>
      <c r="B98" s="14"/>
      <c r="C98" s="14"/>
      <c r="D98" s="41"/>
      <c r="E98" s="41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39"/>
      <c r="B99" s="14"/>
      <c r="C99" s="14"/>
      <c r="D99" s="41"/>
      <c r="E99" s="41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39"/>
      <c r="B100" s="14"/>
      <c r="C100" s="14"/>
      <c r="D100" s="41"/>
      <c r="E100" s="41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39"/>
      <c r="B101" s="14"/>
      <c r="C101" s="14"/>
      <c r="D101" s="41"/>
      <c r="E101" s="41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39"/>
      <c r="B102" s="14"/>
      <c r="C102" s="14"/>
      <c r="D102" s="41"/>
      <c r="E102" s="41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39"/>
      <c r="B103" s="14"/>
      <c r="C103" s="14"/>
      <c r="D103" s="41"/>
      <c r="E103" s="41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39"/>
      <c r="B104" s="14"/>
      <c r="C104" s="14"/>
      <c r="D104" s="41"/>
      <c r="E104" s="41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39"/>
      <c r="B105" s="14"/>
      <c r="C105" s="14"/>
      <c r="D105" s="41"/>
      <c r="E105" s="41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39"/>
      <c r="B106" s="14"/>
      <c r="C106" s="14"/>
      <c r="D106" s="41"/>
      <c r="E106" s="41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39"/>
      <c r="B107" s="14"/>
      <c r="C107" s="14"/>
      <c r="D107" s="41"/>
      <c r="E107" s="41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39"/>
      <c r="B108" s="14"/>
      <c r="C108" s="14"/>
      <c r="D108" s="41"/>
      <c r="E108" s="41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39"/>
      <c r="B109" s="14"/>
      <c r="C109" s="14"/>
      <c r="D109" s="41"/>
      <c r="E109" s="41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39"/>
      <c r="B110" s="14"/>
      <c r="C110" s="14"/>
      <c r="D110" s="41"/>
      <c r="E110" s="41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39"/>
      <c r="B111" s="14"/>
      <c r="C111" s="14"/>
      <c r="D111" s="41"/>
      <c r="E111" s="41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39"/>
      <c r="B112" s="14"/>
      <c r="C112" s="14"/>
      <c r="D112" s="41"/>
      <c r="E112" s="41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39"/>
      <c r="B113" s="14"/>
      <c r="C113" s="14"/>
      <c r="D113" s="41"/>
      <c r="E113" s="41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39"/>
      <c r="B114" s="14"/>
      <c r="C114" s="14"/>
      <c r="D114" s="41"/>
      <c r="E114" s="41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39"/>
      <c r="B115" s="14"/>
      <c r="C115" s="14"/>
      <c r="D115" s="41"/>
      <c r="E115" s="41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39"/>
      <c r="B116" s="14"/>
      <c r="C116" s="14"/>
      <c r="D116" s="41"/>
      <c r="E116" s="41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39"/>
      <c r="B117" s="14"/>
      <c r="C117" s="14"/>
      <c r="D117" s="41"/>
      <c r="E117" s="41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39"/>
      <c r="B118" s="14"/>
      <c r="C118" s="14"/>
      <c r="D118" s="41"/>
      <c r="E118" s="41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39"/>
      <c r="B119" s="14"/>
      <c r="C119" s="14"/>
      <c r="D119" s="41"/>
      <c r="E119" s="41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39"/>
      <c r="B120" s="14"/>
      <c r="C120" s="14"/>
      <c r="D120" s="41"/>
      <c r="E120" s="41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39"/>
      <c r="B121" s="14"/>
      <c r="C121" s="14"/>
      <c r="D121" s="41"/>
      <c r="E121" s="41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39"/>
      <c r="B122" s="14"/>
      <c r="C122" s="14"/>
      <c r="D122" s="41"/>
      <c r="E122" s="41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39"/>
      <c r="B123" s="14"/>
      <c r="C123" s="14"/>
      <c r="D123" s="41"/>
      <c r="E123" s="41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39"/>
      <c r="B124" s="14"/>
      <c r="C124" s="14"/>
      <c r="D124" s="41"/>
      <c r="E124" s="41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39"/>
      <c r="B125" s="14"/>
      <c r="C125" s="14"/>
      <c r="D125" s="41"/>
      <c r="E125" s="41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39"/>
      <c r="B126" s="14"/>
      <c r="C126" s="14"/>
      <c r="D126" s="41"/>
      <c r="E126" s="41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39"/>
      <c r="B127" s="14"/>
      <c r="C127" s="14"/>
      <c r="D127" s="41"/>
      <c r="E127" s="41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39"/>
      <c r="B128" s="14"/>
      <c r="C128" s="14"/>
      <c r="D128" s="41"/>
      <c r="E128" s="41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39"/>
      <c r="B129" s="14"/>
      <c r="C129" s="14"/>
      <c r="D129" s="41"/>
      <c r="E129" s="41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39"/>
      <c r="B130" s="14"/>
      <c r="C130" s="14"/>
      <c r="D130" s="41"/>
      <c r="E130" s="41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39"/>
      <c r="B131" s="14"/>
      <c r="C131" s="14"/>
      <c r="D131" s="41"/>
      <c r="E131" s="41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39"/>
      <c r="B132" s="14"/>
      <c r="C132" s="14"/>
      <c r="D132" s="41"/>
      <c r="E132" s="41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39"/>
      <c r="B133" s="14"/>
      <c r="C133" s="14"/>
      <c r="D133" s="41"/>
      <c r="E133" s="41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39"/>
      <c r="B134" s="14"/>
      <c r="C134" s="14"/>
      <c r="D134" s="41"/>
      <c r="E134" s="41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39"/>
      <c r="B135" s="14"/>
      <c r="C135" s="14"/>
      <c r="D135" s="41"/>
      <c r="E135" s="41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39"/>
      <c r="B136" s="14"/>
      <c r="C136" s="14"/>
      <c r="D136" s="41"/>
      <c r="E136" s="41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39"/>
      <c r="B137" s="14"/>
      <c r="C137" s="14"/>
      <c r="D137" s="41"/>
      <c r="E137" s="41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39"/>
      <c r="B138" s="14"/>
      <c r="C138" s="14"/>
      <c r="D138" s="41"/>
      <c r="E138" s="41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39"/>
      <c r="B139" s="14"/>
      <c r="C139" s="14"/>
      <c r="D139" s="41"/>
      <c r="E139" s="41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39"/>
      <c r="B140" s="14"/>
      <c r="C140" s="14"/>
      <c r="D140" s="41"/>
      <c r="E140" s="41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39"/>
      <c r="B141" s="14"/>
      <c r="C141" s="14"/>
      <c r="D141" s="41"/>
      <c r="E141" s="41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39"/>
      <c r="B142" s="14"/>
      <c r="C142" s="14"/>
      <c r="D142" s="41"/>
      <c r="E142" s="41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39"/>
      <c r="B143" s="14"/>
      <c r="C143" s="14"/>
      <c r="D143" s="41"/>
      <c r="E143" s="41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39"/>
      <c r="B144" s="14"/>
      <c r="C144" s="14"/>
      <c r="D144" s="41"/>
      <c r="E144" s="41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39"/>
      <c r="B145" s="14"/>
      <c r="C145" s="14"/>
      <c r="D145" s="41"/>
      <c r="E145" s="41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39"/>
      <c r="B146" s="14"/>
      <c r="C146" s="14"/>
      <c r="D146" s="41"/>
      <c r="E146" s="41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39"/>
      <c r="B147" s="14"/>
      <c r="C147" s="14"/>
      <c r="D147" s="41"/>
      <c r="E147" s="41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39"/>
      <c r="B148" s="14"/>
      <c r="C148" s="14"/>
      <c r="D148" s="41"/>
      <c r="E148" s="41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39"/>
      <c r="B149" s="14"/>
      <c r="C149" s="14"/>
      <c r="D149" s="41"/>
      <c r="E149" s="41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39"/>
      <c r="B150" s="14"/>
      <c r="C150" s="14"/>
      <c r="D150" s="41"/>
      <c r="E150" s="41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39"/>
      <c r="B151" s="14"/>
      <c r="C151" s="14"/>
      <c r="D151" s="41"/>
      <c r="E151" s="41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39"/>
      <c r="B152" s="14"/>
      <c r="C152" s="14"/>
      <c r="D152" s="41"/>
      <c r="E152" s="41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39"/>
      <c r="B153" s="14"/>
      <c r="C153" s="14"/>
      <c r="D153" s="41"/>
      <c r="E153" s="41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39"/>
      <c r="B154" s="14"/>
      <c r="C154" s="14"/>
      <c r="D154" s="41"/>
      <c r="E154" s="41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39"/>
      <c r="B155" s="14"/>
      <c r="C155" s="14"/>
      <c r="D155" s="41"/>
      <c r="E155" s="41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39"/>
      <c r="B156" s="14"/>
      <c r="C156" s="14"/>
      <c r="D156" s="41"/>
      <c r="E156" s="41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39"/>
      <c r="B157" s="14"/>
      <c r="C157" s="14"/>
      <c r="D157" s="41"/>
      <c r="E157" s="41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39"/>
      <c r="B158" s="14"/>
      <c r="C158" s="14"/>
      <c r="D158" s="41"/>
      <c r="E158" s="41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39"/>
      <c r="B159" s="14"/>
      <c r="C159" s="14"/>
      <c r="D159" s="41"/>
      <c r="E159" s="41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39"/>
      <c r="B160" s="14"/>
      <c r="C160" s="14"/>
      <c r="D160" s="41"/>
      <c r="E160" s="41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39"/>
      <c r="B161" s="14"/>
      <c r="C161" s="14"/>
      <c r="D161" s="41"/>
      <c r="E161" s="41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39"/>
      <c r="B162" s="14"/>
      <c r="C162" s="14"/>
      <c r="D162" s="41"/>
      <c r="E162" s="41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39"/>
      <c r="B163" s="14"/>
      <c r="C163" s="14"/>
      <c r="D163" s="41"/>
      <c r="E163" s="41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39"/>
      <c r="B164" s="14"/>
      <c r="C164" s="14"/>
      <c r="D164" s="41"/>
      <c r="E164" s="41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39"/>
      <c r="B165" s="14"/>
      <c r="C165" s="14"/>
      <c r="D165" s="41"/>
      <c r="E165" s="41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39"/>
      <c r="B166" s="14"/>
      <c r="C166" s="14"/>
      <c r="D166" s="41"/>
      <c r="E166" s="41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39"/>
      <c r="B167" s="14"/>
      <c r="C167" s="14"/>
      <c r="D167" s="41"/>
      <c r="E167" s="41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39"/>
      <c r="B168" s="14"/>
      <c r="C168" s="14"/>
      <c r="D168" s="41"/>
      <c r="E168" s="41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39"/>
      <c r="B169" s="14"/>
      <c r="C169" s="14"/>
      <c r="D169" s="41"/>
      <c r="E169" s="41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39"/>
      <c r="B170" s="14"/>
      <c r="C170" s="14"/>
      <c r="D170" s="41"/>
      <c r="E170" s="41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39"/>
      <c r="B171" s="14"/>
      <c r="C171" s="14"/>
      <c r="D171" s="41"/>
      <c r="E171" s="41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39"/>
      <c r="B172" s="14"/>
      <c r="C172" s="14"/>
      <c r="D172" s="41"/>
      <c r="E172" s="41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39"/>
      <c r="B173" s="14"/>
      <c r="C173" s="14"/>
      <c r="D173" s="41"/>
      <c r="E173" s="41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39"/>
      <c r="B174" s="14"/>
      <c r="C174" s="14"/>
      <c r="D174" s="41"/>
      <c r="E174" s="41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39"/>
      <c r="B175" s="14"/>
      <c r="C175" s="14"/>
      <c r="D175" s="41"/>
      <c r="E175" s="41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39"/>
      <c r="B176" s="14"/>
      <c r="C176" s="14"/>
      <c r="D176" s="41"/>
      <c r="E176" s="41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39"/>
      <c r="B177" s="14"/>
      <c r="C177" s="14"/>
      <c r="D177" s="41"/>
      <c r="E177" s="41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39"/>
      <c r="B178" s="14"/>
      <c r="C178" s="14"/>
      <c r="D178" s="41"/>
      <c r="E178" s="41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39"/>
      <c r="B179" s="14"/>
      <c r="C179" s="14"/>
      <c r="D179" s="41"/>
      <c r="E179" s="41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39"/>
      <c r="B180" s="14"/>
      <c r="C180" s="14"/>
      <c r="D180" s="41"/>
      <c r="E180" s="41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39"/>
      <c r="B181" s="14"/>
      <c r="C181" s="14"/>
      <c r="D181" s="41"/>
      <c r="E181" s="41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39"/>
      <c r="B182" s="14"/>
      <c r="C182" s="14"/>
      <c r="D182" s="41"/>
      <c r="E182" s="41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39"/>
      <c r="B183" s="14"/>
      <c r="C183" s="14"/>
      <c r="D183" s="41"/>
      <c r="E183" s="41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39"/>
      <c r="B184" s="14"/>
      <c r="C184" s="14"/>
      <c r="D184" s="41"/>
      <c r="E184" s="41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39"/>
      <c r="B185" s="14"/>
      <c r="C185" s="14"/>
      <c r="D185" s="41"/>
      <c r="E185" s="41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39"/>
      <c r="B186" s="14"/>
      <c r="C186" s="14"/>
      <c r="D186" s="41"/>
      <c r="E186" s="41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39"/>
      <c r="B187" s="14"/>
      <c r="C187" s="14"/>
      <c r="D187" s="41"/>
      <c r="E187" s="41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39"/>
      <c r="B188" s="14"/>
      <c r="C188" s="14"/>
      <c r="D188" s="41"/>
      <c r="E188" s="41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39"/>
      <c r="B189" s="14"/>
      <c r="C189" s="14"/>
      <c r="D189" s="41"/>
      <c r="E189" s="41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39"/>
      <c r="B190" s="14"/>
      <c r="C190" s="14"/>
      <c r="D190" s="41"/>
      <c r="E190" s="41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39"/>
      <c r="B191" s="14"/>
      <c r="C191" s="14"/>
      <c r="D191" s="41"/>
      <c r="E191" s="41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39"/>
      <c r="B192" s="14"/>
      <c r="C192" s="14"/>
      <c r="D192" s="41"/>
      <c r="E192" s="41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39"/>
      <c r="B193" s="14"/>
      <c r="C193" s="14"/>
      <c r="D193" s="41"/>
      <c r="E193" s="41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39"/>
      <c r="B194" s="14"/>
      <c r="C194" s="14"/>
      <c r="D194" s="41"/>
      <c r="E194" s="41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39"/>
      <c r="B195" s="14"/>
      <c r="C195" s="14"/>
      <c r="D195" s="41"/>
      <c r="E195" s="41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39"/>
      <c r="B196" s="14"/>
      <c r="C196" s="14"/>
      <c r="D196" s="41"/>
      <c r="E196" s="41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39"/>
      <c r="B197" s="14"/>
      <c r="C197" s="14"/>
      <c r="D197" s="41"/>
      <c r="E197" s="41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39"/>
      <c r="B198" s="14"/>
      <c r="C198" s="14"/>
      <c r="D198" s="41"/>
      <c r="E198" s="41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39"/>
      <c r="B199" s="14"/>
      <c r="C199" s="14"/>
      <c r="D199" s="41"/>
      <c r="E199" s="41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39"/>
      <c r="B200" s="14"/>
      <c r="C200" s="14"/>
      <c r="D200" s="41"/>
      <c r="E200" s="41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39"/>
      <c r="B201" s="14"/>
      <c r="C201" s="14"/>
      <c r="D201" s="41"/>
      <c r="E201" s="41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39"/>
      <c r="B202" s="14"/>
      <c r="C202" s="14"/>
      <c r="D202" s="41"/>
      <c r="E202" s="41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39"/>
      <c r="B203" s="14"/>
      <c r="C203" s="14"/>
      <c r="D203" s="41"/>
      <c r="E203" s="41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39"/>
      <c r="B204" s="14"/>
      <c r="C204" s="14"/>
      <c r="D204" s="41"/>
      <c r="E204" s="41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39"/>
      <c r="B205" s="14"/>
      <c r="C205" s="14"/>
      <c r="D205" s="41"/>
      <c r="E205" s="41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39"/>
      <c r="B206" s="14"/>
      <c r="C206" s="14"/>
      <c r="D206" s="41"/>
      <c r="E206" s="41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39"/>
      <c r="B207" s="14"/>
      <c r="C207" s="14"/>
      <c r="D207" s="41"/>
      <c r="E207" s="41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39"/>
      <c r="B208" s="14"/>
      <c r="C208" s="14"/>
      <c r="D208" s="41"/>
      <c r="E208" s="41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39"/>
      <c r="B209" s="14"/>
      <c r="C209" s="14"/>
      <c r="D209" s="41"/>
      <c r="E209" s="41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39"/>
      <c r="B210" s="14"/>
      <c r="C210" s="14"/>
      <c r="D210" s="41"/>
      <c r="E210" s="41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39"/>
      <c r="B211" s="14"/>
      <c r="C211" s="14"/>
      <c r="D211" s="41"/>
      <c r="E211" s="41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39"/>
      <c r="B212" s="14"/>
      <c r="C212" s="14"/>
      <c r="D212" s="41"/>
      <c r="E212" s="41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39"/>
      <c r="B213" s="14"/>
      <c r="C213" s="14"/>
      <c r="D213" s="41"/>
      <c r="E213" s="41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39"/>
      <c r="B214" s="14"/>
      <c r="C214" s="14"/>
      <c r="D214" s="41"/>
      <c r="E214" s="41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39"/>
      <c r="B215" s="14"/>
      <c r="C215" s="14"/>
      <c r="D215" s="41"/>
      <c r="E215" s="41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39"/>
      <c r="B216" s="14"/>
      <c r="C216" s="14"/>
      <c r="D216" s="41"/>
      <c r="E216" s="41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39"/>
      <c r="B217" s="14"/>
      <c r="C217" s="14"/>
      <c r="D217" s="41"/>
      <c r="E217" s="41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39"/>
      <c r="B218" s="14"/>
      <c r="C218" s="14"/>
      <c r="D218" s="41"/>
      <c r="E218" s="41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39"/>
      <c r="B219" s="14"/>
      <c r="C219" s="14"/>
      <c r="D219" s="41"/>
      <c r="E219" s="41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39"/>
      <c r="B220" s="14"/>
      <c r="C220" s="14"/>
      <c r="D220" s="41"/>
      <c r="E220" s="41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39"/>
      <c r="B221" s="14"/>
      <c r="C221" s="14"/>
      <c r="D221" s="41"/>
      <c r="E221" s="41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39"/>
      <c r="B222" s="14"/>
      <c r="C222" s="14"/>
      <c r="D222" s="41"/>
      <c r="E222" s="41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39"/>
      <c r="B223" s="14"/>
      <c r="C223" s="14"/>
      <c r="D223" s="41"/>
      <c r="E223" s="41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39"/>
      <c r="B224" s="14"/>
      <c r="C224" s="14"/>
      <c r="D224" s="41"/>
      <c r="E224" s="41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39"/>
      <c r="B225" s="14"/>
      <c r="C225" s="14"/>
      <c r="D225" s="41"/>
      <c r="E225" s="41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39"/>
      <c r="B226" s="14"/>
      <c r="C226" s="14"/>
      <c r="D226" s="41"/>
      <c r="E226" s="41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39"/>
      <c r="B227" s="14"/>
      <c r="C227" s="14"/>
      <c r="D227" s="41"/>
      <c r="E227" s="41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39"/>
      <c r="B228" s="14"/>
      <c r="C228" s="14"/>
      <c r="D228" s="41"/>
      <c r="E228" s="41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39"/>
      <c r="B229" s="14"/>
      <c r="C229" s="14"/>
      <c r="D229" s="41"/>
      <c r="E229" s="41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39"/>
      <c r="B230" s="14"/>
      <c r="C230" s="14"/>
      <c r="D230" s="41"/>
      <c r="E230" s="41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39"/>
      <c r="B231" s="14"/>
      <c r="C231" s="14"/>
      <c r="D231" s="41"/>
      <c r="E231" s="41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39"/>
      <c r="B232" s="14"/>
      <c r="C232" s="14"/>
      <c r="D232" s="41"/>
      <c r="E232" s="41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39"/>
      <c r="B233" s="14"/>
      <c r="C233" s="14"/>
      <c r="D233" s="41"/>
      <c r="E233" s="41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39"/>
      <c r="B234" s="14"/>
      <c r="C234" s="14"/>
      <c r="D234" s="41"/>
      <c r="E234" s="41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39"/>
      <c r="B235" s="14"/>
      <c r="C235" s="14"/>
      <c r="D235" s="41"/>
      <c r="E235" s="41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39"/>
      <c r="B236" s="14"/>
      <c r="C236" s="14"/>
      <c r="D236" s="41"/>
      <c r="E236" s="41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39"/>
      <c r="B237" s="14"/>
      <c r="C237" s="14"/>
      <c r="D237" s="41"/>
      <c r="E237" s="41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39"/>
      <c r="B238" s="14"/>
      <c r="C238" s="14"/>
      <c r="D238" s="41"/>
      <c r="E238" s="41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39"/>
      <c r="B239" s="14"/>
      <c r="C239" s="14"/>
      <c r="D239" s="41"/>
      <c r="E239" s="41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39"/>
      <c r="B240" s="14"/>
      <c r="C240" s="14"/>
      <c r="D240" s="41"/>
      <c r="E240" s="41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39"/>
      <c r="B241" s="14"/>
      <c r="C241" s="14"/>
      <c r="D241" s="41"/>
      <c r="E241" s="41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39"/>
      <c r="B242" s="14"/>
      <c r="C242" s="14"/>
      <c r="D242" s="41"/>
      <c r="E242" s="41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39"/>
      <c r="B243" s="14"/>
      <c r="C243" s="14"/>
      <c r="D243" s="41"/>
      <c r="E243" s="41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39"/>
      <c r="B244" s="14"/>
      <c r="C244" s="14"/>
      <c r="D244" s="41"/>
      <c r="E244" s="41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39"/>
      <c r="B245" s="14"/>
      <c r="C245" s="14"/>
      <c r="D245" s="41"/>
      <c r="E245" s="41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39"/>
      <c r="B246" s="14"/>
      <c r="C246" s="14"/>
      <c r="D246" s="41"/>
      <c r="E246" s="41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39"/>
      <c r="B247" s="14"/>
      <c r="C247" s="14"/>
      <c r="D247" s="41"/>
      <c r="E247" s="41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39"/>
      <c r="B248" s="14"/>
      <c r="C248" s="14"/>
      <c r="D248" s="41"/>
      <c r="E248" s="41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39"/>
      <c r="B249" s="14"/>
      <c r="C249" s="14"/>
      <c r="D249" s="41"/>
      <c r="E249" s="41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39"/>
      <c r="B250" s="14"/>
      <c r="C250" s="14"/>
      <c r="D250" s="41"/>
      <c r="E250" s="41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39"/>
      <c r="B251" s="14"/>
      <c r="C251" s="14"/>
      <c r="D251" s="41"/>
      <c r="E251" s="41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39"/>
      <c r="B252" s="14"/>
      <c r="C252" s="14"/>
      <c r="D252" s="41"/>
      <c r="E252" s="41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39"/>
      <c r="B253" s="14"/>
      <c r="C253" s="14"/>
      <c r="D253" s="41"/>
      <c r="E253" s="41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39"/>
      <c r="B254" s="14"/>
      <c r="C254" s="14"/>
      <c r="D254" s="41"/>
      <c r="E254" s="41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39"/>
      <c r="B255" s="14"/>
      <c r="C255" s="14"/>
      <c r="D255" s="41"/>
      <c r="E255" s="41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39"/>
      <c r="B256" s="14"/>
      <c r="C256" s="14"/>
      <c r="D256" s="41"/>
      <c r="E256" s="41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39"/>
      <c r="B257" s="14"/>
      <c r="C257" s="14"/>
      <c r="D257" s="41"/>
      <c r="E257" s="41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1">
    <mergeCell ref="H1:J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" t="s">
        <v>0</v>
      </c>
      <c r="B1" s="1" t="s">
        <v>5</v>
      </c>
      <c r="C1" s="42" t="s">
        <v>31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</row>
    <row r="2">
      <c r="A2" s="18">
        <v>46090.0</v>
      </c>
      <c r="B2" s="43">
        <v>6781.48</v>
      </c>
      <c r="C2" s="44">
        <f t="shared" ref="C2:C53" si="1">B2/B3-1</f>
        <v>0.006151317058</v>
      </c>
      <c r="G2" s="3">
        <v>46090.0</v>
      </c>
      <c r="H2" s="43">
        <v>6699.8</v>
      </c>
      <c r="I2" s="43">
        <v>6845.08</v>
      </c>
      <c r="J2" s="43">
        <v>6636.04</v>
      </c>
      <c r="K2" s="43">
        <v>6781.48</v>
      </c>
      <c r="L2" s="43">
        <v>6781.48</v>
      </c>
      <c r="M2" s="4">
        <v>1.265436E10</v>
      </c>
    </row>
    <row r="3">
      <c r="A3" s="18">
        <v>46083.0</v>
      </c>
      <c r="B3" s="43">
        <v>6740.02</v>
      </c>
      <c r="C3" s="44">
        <f t="shared" si="1"/>
        <v>-0.0201864257</v>
      </c>
      <c r="G3" s="3">
        <v>46083.0</v>
      </c>
      <c r="H3" s="43">
        <v>6824.36</v>
      </c>
      <c r="I3" s="43">
        <v>6901.01</v>
      </c>
      <c r="J3" s="43">
        <v>6710.42</v>
      </c>
      <c r="K3" s="43">
        <v>6740.02</v>
      </c>
      <c r="L3" s="43">
        <v>6740.02</v>
      </c>
      <c r="M3" s="4">
        <v>2.955575E10</v>
      </c>
    </row>
    <row r="4">
      <c r="A4" s="18">
        <v>46076.0</v>
      </c>
      <c r="B4" s="43">
        <v>6878.88</v>
      </c>
      <c r="C4" s="44">
        <f t="shared" si="1"/>
        <v>-0.004433020576</v>
      </c>
      <c r="G4" s="3">
        <v>46076.0</v>
      </c>
      <c r="H4" s="43">
        <v>6901.25</v>
      </c>
      <c r="I4" s="43">
        <v>6952.51</v>
      </c>
      <c r="J4" s="43">
        <v>6815.43</v>
      </c>
      <c r="K4" s="43">
        <v>6878.88</v>
      </c>
      <c r="L4" s="43">
        <v>6878.88</v>
      </c>
      <c r="M4" s="4">
        <v>2.878771E10</v>
      </c>
    </row>
    <row r="5">
      <c r="A5" s="18">
        <v>46069.0</v>
      </c>
      <c r="B5" s="43">
        <v>6909.51</v>
      </c>
      <c r="C5" s="44">
        <f t="shared" si="1"/>
        <v>0.0107282294</v>
      </c>
      <c r="G5" s="3">
        <v>46069.0</v>
      </c>
      <c r="H5" s="43">
        <v>6819.86</v>
      </c>
      <c r="I5" s="43">
        <v>6915.86</v>
      </c>
      <c r="J5" s="43">
        <v>6775.5</v>
      </c>
      <c r="K5" s="43">
        <v>6909.51</v>
      </c>
      <c r="L5" s="43">
        <v>6909.51</v>
      </c>
      <c r="M5" s="4">
        <v>2.110081E10</v>
      </c>
    </row>
    <row r="6">
      <c r="A6" s="18">
        <v>46062.0</v>
      </c>
      <c r="B6" s="43">
        <v>6836.17</v>
      </c>
      <c r="C6" s="44">
        <f t="shared" si="1"/>
        <v>-0.01386697056</v>
      </c>
      <c r="G6" s="3">
        <v>46062.0</v>
      </c>
      <c r="H6" s="43">
        <v>6917.26</v>
      </c>
      <c r="I6" s="43">
        <v>6993.48</v>
      </c>
      <c r="J6" s="43">
        <v>6794.55</v>
      </c>
      <c r="K6" s="43">
        <v>6836.17</v>
      </c>
      <c r="L6" s="43">
        <v>6836.17</v>
      </c>
      <c r="M6" s="4">
        <v>3.025878E10</v>
      </c>
    </row>
    <row r="7">
      <c r="A7" s="18">
        <v>46055.0</v>
      </c>
      <c r="B7" s="43">
        <v>6932.3</v>
      </c>
      <c r="C7" s="44">
        <f t="shared" si="1"/>
        <v>-0.0009698761931</v>
      </c>
      <c r="G7" s="3">
        <v>46055.0</v>
      </c>
      <c r="H7" s="43">
        <v>6916.64</v>
      </c>
      <c r="I7" s="43">
        <v>6993.08</v>
      </c>
      <c r="J7" s="43">
        <v>6780.13</v>
      </c>
      <c r="K7" s="43">
        <v>6932.3</v>
      </c>
      <c r="L7" s="43">
        <v>6932.3</v>
      </c>
      <c r="M7" s="4">
        <v>3.353826E10</v>
      </c>
    </row>
    <row r="8">
      <c r="A8" s="18">
        <v>46048.0</v>
      </c>
      <c r="B8" s="43">
        <v>6939.03</v>
      </c>
      <c r="C8" s="44">
        <f t="shared" si="1"/>
        <v>0.003386541462</v>
      </c>
      <c r="G8" s="3">
        <v>46048.0</v>
      </c>
      <c r="H8" s="43">
        <v>6923.23</v>
      </c>
      <c r="I8" s="43">
        <v>7002.28</v>
      </c>
      <c r="J8" s="43">
        <v>6870.8</v>
      </c>
      <c r="K8" s="43">
        <v>6939.03</v>
      </c>
      <c r="L8" s="43">
        <v>6939.03</v>
      </c>
      <c r="M8" s="4">
        <v>2.938256E10</v>
      </c>
    </row>
    <row r="9">
      <c r="A9" s="18">
        <v>46041.0</v>
      </c>
      <c r="B9" s="43">
        <v>6915.61</v>
      </c>
      <c r="C9" s="44">
        <f t="shared" si="1"/>
        <v>-0.003515845078</v>
      </c>
      <c r="G9" s="3">
        <v>46041.0</v>
      </c>
      <c r="H9" s="43">
        <v>6865.24</v>
      </c>
      <c r="I9" s="43">
        <v>6934.75</v>
      </c>
      <c r="J9" s="43">
        <v>6789.05</v>
      </c>
      <c r="K9" s="43">
        <v>6915.61</v>
      </c>
      <c r="L9" s="43">
        <v>6915.61</v>
      </c>
      <c r="M9" s="4">
        <v>2.178453E10</v>
      </c>
    </row>
    <row r="10">
      <c r="A10" s="18">
        <v>46034.0</v>
      </c>
      <c r="B10" s="43">
        <v>6940.01</v>
      </c>
      <c r="C10" s="44">
        <f t="shared" si="1"/>
        <v>-0.003771022698</v>
      </c>
      <c r="G10" s="3">
        <v>46034.0</v>
      </c>
      <c r="H10" s="43">
        <v>6944.12</v>
      </c>
      <c r="I10" s="43">
        <v>6986.33</v>
      </c>
      <c r="J10" s="43">
        <v>6885.74</v>
      </c>
      <c r="K10" s="43">
        <v>6940.01</v>
      </c>
      <c r="L10" s="43">
        <v>6940.01</v>
      </c>
      <c r="M10" s="4">
        <v>2.61122E10</v>
      </c>
    </row>
    <row r="11">
      <c r="A11" s="18">
        <v>46027.0</v>
      </c>
      <c r="B11" s="43">
        <v>6966.28</v>
      </c>
      <c r="C11" s="44">
        <f t="shared" si="1"/>
        <v>0.01571924934</v>
      </c>
      <c r="G11" s="3">
        <v>46027.0</v>
      </c>
      <c r="H11" s="43">
        <v>6892.19</v>
      </c>
      <c r="I11" s="43">
        <v>6978.36</v>
      </c>
      <c r="J11" s="43">
        <v>6891.56</v>
      </c>
      <c r="K11" s="43">
        <v>6966.28</v>
      </c>
      <c r="L11" s="43">
        <v>6966.28</v>
      </c>
      <c r="M11" s="4">
        <v>2.699319E10</v>
      </c>
    </row>
    <row r="12">
      <c r="A12" s="18">
        <v>46020.0</v>
      </c>
      <c r="B12" s="43">
        <v>6858.47</v>
      </c>
      <c r="C12" s="44">
        <f t="shared" si="1"/>
        <v>-0.01031322061</v>
      </c>
      <c r="G12" s="3">
        <v>46020.0</v>
      </c>
      <c r="H12" s="43">
        <v>6903.6</v>
      </c>
      <c r="I12" s="43">
        <v>6920.21</v>
      </c>
      <c r="J12" s="43">
        <v>6824.31</v>
      </c>
      <c r="K12" s="43">
        <v>6858.47</v>
      </c>
      <c r="L12" s="43">
        <v>6858.47</v>
      </c>
      <c r="M12" s="4">
        <v>1.429763E10</v>
      </c>
    </row>
    <row r="13">
      <c r="A13" s="18">
        <v>46013.0</v>
      </c>
      <c r="B13" s="43">
        <v>6929.94</v>
      </c>
      <c r="C13" s="44">
        <f t="shared" si="1"/>
        <v>0.01396444509</v>
      </c>
      <c r="G13" s="3">
        <v>46013.0</v>
      </c>
      <c r="H13" s="43">
        <v>6865.21</v>
      </c>
      <c r="I13" s="43">
        <v>6945.77</v>
      </c>
      <c r="J13" s="43">
        <v>6855.74</v>
      </c>
      <c r="K13" s="43">
        <v>6929.94</v>
      </c>
      <c r="L13" s="43">
        <v>6929.94</v>
      </c>
      <c r="M13" s="4">
        <v>1.267041E10</v>
      </c>
    </row>
    <row r="14">
      <c r="A14" s="18">
        <v>46006.0</v>
      </c>
      <c r="B14" s="43">
        <v>6834.5</v>
      </c>
      <c r="C14" s="44">
        <f t="shared" si="1"/>
        <v>0.001038461144</v>
      </c>
      <c r="G14" s="3">
        <v>46006.0</v>
      </c>
      <c r="H14" s="43">
        <v>6860.19</v>
      </c>
      <c r="I14" s="43">
        <v>6861.59</v>
      </c>
      <c r="J14" s="43">
        <v>6720.43</v>
      </c>
      <c r="K14" s="43">
        <v>6834.5</v>
      </c>
      <c r="L14" s="43">
        <v>6834.5</v>
      </c>
      <c r="M14" s="4">
        <v>2.873656E10</v>
      </c>
    </row>
    <row r="15">
      <c r="A15" s="18">
        <v>45999.0</v>
      </c>
      <c r="B15" s="43">
        <v>6827.41</v>
      </c>
      <c r="C15" s="44">
        <f t="shared" si="1"/>
        <v>-0.006257277597</v>
      </c>
      <c r="G15" s="3">
        <v>45999.0</v>
      </c>
      <c r="H15" s="43">
        <v>6875.2</v>
      </c>
      <c r="I15" s="43">
        <v>6903.46</v>
      </c>
      <c r="J15" s="43">
        <v>6801.79</v>
      </c>
      <c r="K15" s="43">
        <v>6827.41</v>
      </c>
      <c r="L15" s="43">
        <v>6827.41</v>
      </c>
      <c r="M15" s="4">
        <v>2.472297E10</v>
      </c>
    </row>
    <row r="16">
      <c r="A16" s="18">
        <v>45992.0</v>
      </c>
      <c r="B16" s="43">
        <v>6870.4</v>
      </c>
      <c r="C16" s="44">
        <f t="shared" si="1"/>
        <v>0.003111362239</v>
      </c>
      <c r="G16" s="3">
        <v>45992.0</v>
      </c>
      <c r="H16" s="43">
        <v>6812.3</v>
      </c>
      <c r="I16" s="43">
        <v>6895.78</v>
      </c>
      <c r="J16" s="43">
        <v>6799.94</v>
      </c>
      <c r="K16" s="43">
        <v>6870.4</v>
      </c>
      <c r="L16" s="43">
        <v>6870.4</v>
      </c>
      <c r="M16" s="4">
        <v>2.368544E10</v>
      </c>
    </row>
    <row r="17">
      <c r="A17" s="18">
        <v>45985.0</v>
      </c>
      <c r="B17" s="43">
        <v>6849.09</v>
      </c>
      <c r="C17" s="44">
        <f t="shared" si="1"/>
        <v>0.0372709939</v>
      </c>
      <c r="G17" s="3">
        <v>45985.0</v>
      </c>
      <c r="H17" s="43">
        <v>6636.54</v>
      </c>
      <c r="I17" s="43">
        <v>6850.86</v>
      </c>
      <c r="J17" s="43">
        <v>6630.7</v>
      </c>
      <c r="K17" s="43">
        <v>6849.09</v>
      </c>
      <c r="L17" s="43">
        <v>6849.09</v>
      </c>
      <c r="M17" s="4">
        <v>1.808661E10</v>
      </c>
    </row>
    <row r="18">
      <c r="A18" s="18">
        <v>45978.0</v>
      </c>
      <c r="B18" s="43">
        <v>6602.99</v>
      </c>
      <c r="C18" s="44">
        <f t="shared" si="1"/>
        <v>-0.01947102141</v>
      </c>
      <c r="G18" s="3">
        <v>45978.0</v>
      </c>
      <c r="H18" s="43">
        <v>6713.61</v>
      </c>
      <c r="I18" s="43">
        <v>6770.35</v>
      </c>
      <c r="J18" s="43">
        <v>6521.92</v>
      </c>
      <c r="K18" s="43">
        <v>6602.99</v>
      </c>
      <c r="L18" s="43">
        <v>6602.99</v>
      </c>
      <c r="M18" s="4">
        <v>2.691123E10</v>
      </c>
    </row>
    <row r="19">
      <c r="A19" s="18">
        <v>45971.0</v>
      </c>
      <c r="B19" s="43">
        <v>6734.11</v>
      </c>
      <c r="C19" s="44">
        <f t="shared" si="1"/>
        <v>0.000789145167</v>
      </c>
      <c r="G19" s="3">
        <v>45971.0</v>
      </c>
      <c r="H19" s="43">
        <v>6785.36</v>
      </c>
      <c r="I19" s="43">
        <v>6869.91</v>
      </c>
      <c r="J19" s="43">
        <v>6646.87</v>
      </c>
      <c r="K19" s="43">
        <v>6734.11</v>
      </c>
      <c r="L19" s="43">
        <v>6734.11</v>
      </c>
      <c r="M19" s="4">
        <v>2.615953E10</v>
      </c>
    </row>
    <row r="20">
      <c r="A20" s="18">
        <v>45964.0</v>
      </c>
      <c r="B20" s="43">
        <v>6728.8</v>
      </c>
      <c r="C20" s="44">
        <f t="shared" si="1"/>
        <v>-0.01628607351</v>
      </c>
      <c r="G20" s="3">
        <v>45964.0</v>
      </c>
      <c r="H20" s="43">
        <v>6882.32</v>
      </c>
      <c r="I20" s="43">
        <v>6882.32</v>
      </c>
      <c r="J20" s="43">
        <v>6631.44</v>
      </c>
      <c r="K20" s="43">
        <v>6728.8</v>
      </c>
      <c r="L20" s="43">
        <v>6728.8</v>
      </c>
      <c r="M20" s="4">
        <v>2.97228E10</v>
      </c>
    </row>
    <row r="21">
      <c r="A21" s="18">
        <v>45957.0</v>
      </c>
      <c r="B21" s="43">
        <v>6840.2</v>
      </c>
      <c r="C21" s="44">
        <f t="shared" si="1"/>
        <v>0.007142552148</v>
      </c>
      <c r="G21" s="3">
        <v>45957.0</v>
      </c>
      <c r="H21" s="43">
        <v>6845.46</v>
      </c>
      <c r="I21" s="43">
        <v>6920.34</v>
      </c>
      <c r="J21" s="43">
        <v>6814.26</v>
      </c>
      <c r="K21" s="43">
        <v>6840.2</v>
      </c>
      <c r="L21" s="43">
        <v>6840.2</v>
      </c>
      <c r="M21" s="4">
        <v>2.971769E10</v>
      </c>
    </row>
    <row r="22">
      <c r="A22" s="18">
        <v>45950.0</v>
      </c>
      <c r="B22" s="43">
        <v>6791.69</v>
      </c>
      <c r="C22" s="44">
        <f t="shared" si="1"/>
        <v>0.01915963511</v>
      </c>
      <c r="G22" s="3">
        <v>45950.0</v>
      </c>
      <c r="H22" s="43">
        <v>6690.05</v>
      </c>
      <c r="I22" s="43">
        <v>6807.11</v>
      </c>
      <c r="J22" s="43">
        <v>6655.69</v>
      </c>
      <c r="K22" s="43">
        <v>6791.69</v>
      </c>
      <c r="L22" s="43">
        <v>6791.69</v>
      </c>
      <c r="M22" s="4">
        <v>2.625117E10</v>
      </c>
    </row>
    <row r="23">
      <c r="A23" s="18">
        <v>45943.0</v>
      </c>
      <c r="B23" s="43">
        <v>6664.01</v>
      </c>
      <c r="C23" s="44">
        <f t="shared" si="1"/>
        <v>0.01701637998</v>
      </c>
      <c r="G23" s="3">
        <v>45943.0</v>
      </c>
      <c r="H23" s="43">
        <v>6622.53</v>
      </c>
      <c r="I23" s="43">
        <v>6724.12</v>
      </c>
      <c r="J23" s="43">
        <v>6555.07</v>
      </c>
      <c r="K23" s="43">
        <v>6664.01</v>
      </c>
      <c r="L23" s="43">
        <v>6664.01</v>
      </c>
      <c r="M23" s="4">
        <v>2.801024E10</v>
      </c>
    </row>
    <row r="24">
      <c r="A24" s="18">
        <v>45936.0</v>
      </c>
      <c r="B24" s="43">
        <v>6552.51</v>
      </c>
      <c r="C24" s="44">
        <f t="shared" si="1"/>
        <v>-0.02431285076</v>
      </c>
      <c r="G24" s="3">
        <v>45936.0</v>
      </c>
      <c r="H24" s="43">
        <v>6733.86</v>
      </c>
      <c r="I24" s="43">
        <v>6764.58</v>
      </c>
      <c r="J24" s="43">
        <v>6550.78</v>
      </c>
      <c r="K24" s="43">
        <v>6552.51</v>
      </c>
      <c r="L24" s="43">
        <v>6552.51</v>
      </c>
      <c r="M24" s="4">
        <v>2.851537E10</v>
      </c>
    </row>
    <row r="25">
      <c r="A25" s="18">
        <v>45929.0</v>
      </c>
      <c r="B25" s="43">
        <v>6715.79</v>
      </c>
      <c r="C25" s="44">
        <f t="shared" si="1"/>
        <v>0.01085088129</v>
      </c>
      <c r="G25" s="3">
        <v>45929.0</v>
      </c>
      <c r="H25" s="43">
        <v>6661.58</v>
      </c>
      <c r="I25" s="43">
        <v>6750.87</v>
      </c>
      <c r="J25" s="43">
        <v>6641.0</v>
      </c>
      <c r="K25" s="43">
        <v>6715.79</v>
      </c>
      <c r="L25" s="43">
        <v>6715.79</v>
      </c>
      <c r="M25" s="4">
        <v>2.858316E10</v>
      </c>
    </row>
    <row r="26">
      <c r="A26" s="18">
        <v>45922.0</v>
      </c>
      <c r="B26" s="43">
        <v>6643.7</v>
      </c>
      <c r="C26" s="44">
        <f t="shared" si="1"/>
        <v>-0.003100072625</v>
      </c>
      <c r="G26" s="3">
        <v>45922.0</v>
      </c>
      <c r="H26" s="43">
        <v>6654.28</v>
      </c>
      <c r="I26" s="43">
        <v>6699.52</v>
      </c>
      <c r="J26" s="43">
        <v>6569.22</v>
      </c>
      <c r="K26" s="43">
        <v>6643.7</v>
      </c>
      <c r="L26" s="43">
        <v>6643.7</v>
      </c>
      <c r="M26" s="4">
        <v>2.77132E10</v>
      </c>
    </row>
    <row r="27">
      <c r="A27" s="18">
        <v>45915.0</v>
      </c>
      <c r="B27" s="43">
        <v>6664.36</v>
      </c>
      <c r="C27" s="44">
        <f t="shared" si="1"/>
        <v>0.01216076449</v>
      </c>
      <c r="G27" s="3">
        <v>45915.0</v>
      </c>
      <c r="H27" s="43">
        <v>6603.49</v>
      </c>
      <c r="I27" s="43">
        <v>6671.82</v>
      </c>
      <c r="J27" s="43">
        <v>6551.15</v>
      </c>
      <c r="K27" s="43">
        <v>6664.36</v>
      </c>
      <c r="L27" s="43">
        <v>6664.36</v>
      </c>
      <c r="M27" s="4">
        <v>3.062823E10</v>
      </c>
    </row>
    <row r="28">
      <c r="A28" s="18">
        <v>45908.0</v>
      </c>
      <c r="B28" s="43">
        <v>6584.29</v>
      </c>
      <c r="C28" s="44">
        <f t="shared" si="1"/>
        <v>0.01585898326</v>
      </c>
      <c r="G28" s="3">
        <v>45908.0</v>
      </c>
      <c r="H28" s="43">
        <v>6498.09</v>
      </c>
      <c r="I28" s="43">
        <v>6600.21</v>
      </c>
      <c r="J28" s="43">
        <v>6483.08</v>
      </c>
      <c r="K28" s="43">
        <v>6584.29</v>
      </c>
      <c r="L28" s="43">
        <v>6584.29</v>
      </c>
      <c r="M28" s="4">
        <v>2.533096E10</v>
      </c>
    </row>
    <row r="29">
      <c r="A29" s="18">
        <v>45901.0</v>
      </c>
      <c r="B29" s="43">
        <v>6481.5</v>
      </c>
      <c r="C29" s="44">
        <f t="shared" si="1"/>
        <v>0.003287793371</v>
      </c>
      <c r="G29" s="3">
        <v>45901.0</v>
      </c>
      <c r="H29" s="43">
        <v>6401.51</v>
      </c>
      <c r="I29" s="43">
        <v>6532.65</v>
      </c>
      <c r="J29" s="43">
        <v>6360.58</v>
      </c>
      <c r="K29" s="43">
        <v>6481.5</v>
      </c>
      <c r="L29" s="43">
        <v>6481.5</v>
      </c>
      <c r="M29" s="4">
        <v>1.898625E10</v>
      </c>
    </row>
    <row r="30">
      <c r="A30" s="18">
        <v>45894.0</v>
      </c>
      <c r="B30" s="43">
        <v>6460.26</v>
      </c>
      <c r="C30" s="44">
        <f t="shared" si="1"/>
        <v>-0.001028311821</v>
      </c>
      <c r="G30" s="3">
        <v>45894.0</v>
      </c>
      <c r="H30" s="43">
        <v>6457.67</v>
      </c>
      <c r="I30" s="43">
        <v>6508.23</v>
      </c>
      <c r="J30" s="43">
        <v>6429.21</v>
      </c>
      <c r="K30" s="43">
        <v>6460.26</v>
      </c>
      <c r="L30" s="43">
        <v>6460.26</v>
      </c>
      <c r="M30" s="4">
        <v>2.158903E10</v>
      </c>
    </row>
    <row r="31">
      <c r="A31" s="18">
        <v>45887.0</v>
      </c>
      <c r="B31" s="43">
        <v>6466.91</v>
      </c>
      <c r="C31" s="44">
        <f t="shared" si="1"/>
        <v>0.002652795436</v>
      </c>
      <c r="G31" s="3">
        <v>45887.0</v>
      </c>
      <c r="H31" s="43">
        <v>6445.02</v>
      </c>
      <c r="I31" s="43">
        <v>6478.89</v>
      </c>
      <c r="J31" s="43">
        <v>6343.86</v>
      </c>
      <c r="K31" s="43">
        <v>6466.91</v>
      </c>
      <c r="L31" s="43">
        <v>6466.91</v>
      </c>
      <c r="M31" s="4">
        <v>2.207054E10</v>
      </c>
    </row>
    <row r="32">
      <c r="A32" s="18">
        <v>45880.0</v>
      </c>
      <c r="B32" s="43">
        <v>6449.8</v>
      </c>
      <c r="C32" s="44">
        <f t="shared" si="1"/>
        <v>0.009445257417</v>
      </c>
      <c r="G32" s="3">
        <v>45880.0</v>
      </c>
      <c r="H32" s="43">
        <v>6389.67</v>
      </c>
      <c r="I32" s="43">
        <v>6481.34</v>
      </c>
      <c r="J32" s="43">
        <v>6364.06</v>
      </c>
      <c r="K32" s="43">
        <v>6449.8</v>
      </c>
      <c r="L32" s="43">
        <v>6449.8</v>
      </c>
      <c r="M32" s="4">
        <v>2.402076E10</v>
      </c>
    </row>
    <row r="33">
      <c r="A33" s="18">
        <v>45873.0</v>
      </c>
      <c r="B33" s="43">
        <v>6389.45</v>
      </c>
      <c r="C33" s="44">
        <f t="shared" si="1"/>
        <v>0.02427697294</v>
      </c>
      <c r="G33" s="3">
        <v>45873.0</v>
      </c>
      <c r="H33" s="43">
        <v>6271.71</v>
      </c>
      <c r="I33" s="43">
        <v>6395.16</v>
      </c>
      <c r="J33" s="43">
        <v>6271.71</v>
      </c>
      <c r="K33" s="43">
        <v>6389.45</v>
      </c>
      <c r="L33" s="43">
        <v>6389.45</v>
      </c>
      <c r="M33" s="4">
        <v>2.584455E10</v>
      </c>
    </row>
    <row r="34">
      <c r="A34" s="18">
        <v>45866.0</v>
      </c>
      <c r="B34" s="43">
        <v>6238.01</v>
      </c>
      <c r="C34" s="44">
        <f t="shared" si="1"/>
        <v>-0.02357778807</v>
      </c>
      <c r="G34" s="3">
        <v>45866.0</v>
      </c>
      <c r="H34" s="43">
        <v>6397.69</v>
      </c>
      <c r="I34" s="43">
        <v>6427.02</v>
      </c>
      <c r="J34" s="43">
        <v>6212.69</v>
      </c>
      <c r="K34" s="43">
        <v>6238.01</v>
      </c>
      <c r="L34" s="43">
        <v>6238.01</v>
      </c>
      <c r="M34" s="4">
        <v>2.692104E10</v>
      </c>
    </row>
    <row r="35">
      <c r="A35" s="18">
        <v>45859.0</v>
      </c>
      <c r="B35" s="43">
        <v>6388.64</v>
      </c>
      <c r="C35" s="44">
        <f t="shared" si="1"/>
        <v>0.0145867974</v>
      </c>
      <c r="G35" s="3">
        <v>45859.0</v>
      </c>
      <c r="H35" s="43">
        <v>6304.74</v>
      </c>
      <c r="I35" s="43">
        <v>6395.82</v>
      </c>
      <c r="J35" s="43">
        <v>6281.71</v>
      </c>
      <c r="K35" s="43">
        <v>6388.64</v>
      </c>
      <c r="L35" s="43">
        <v>6388.64</v>
      </c>
      <c r="M35" s="4">
        <v>2.606883E10</v>
      </c>
    </row>
    <row r="36">
      <c r="A36" s="18">
        <v>45852.0</v>
      </c>
      <c r="B36" s="43">
        <v>6296.79</v>
      </c>
      <c r="C36" s="44">
        <f t="shared" si="1"/>
        <v>0.005917169216</v>
      </c>
      <c r="G36" s="3">
        <v>45852.0</v>
      </c>
      <c r="H36" s="43">
        <v>6255.15</v>
      </c>
      <c r="I36" s="43">
        <v>6315.61</v>
      </c>
      <c r="J36" s="43">
        <v>6201.59</v>
      </c>
      <c r="K36" s="43">
        <v>6296.79</v>
      </c>
      <c r="L36" s="43">
        <v>6296.79</v>
      </c>
      <c r="M36" s="4">
        <v>2.573037E10</v>
      </c>
    </row>
    <row r="37">
      <c r="A37" s="18">
        <v>45845.0</v>
      </c>
      <c r="B37" s="43">
        <v>6259.75</v>
      </c>
      <c r="C37" s="44">
        <f t="shared" si="1"/>
        <v>-0.003121342177</v>
      </c>
      <c r="G37" s="3">
        <v>45845.0</v>
      </c>
      <c r="H37" s="43">
        <v>6259.04</v>
      </c>
      <c r="I37" s="43">
        <v>6290.22</v>
      </c>
      <c r="J37" s="43">
        <v>6201.0</v>
      </c>
      <c r="K37" s="43">
        <v>6259.75</v>
      </c>
      <c r="L37" s="43">
        <v>6259.75</v>
      </c>
      <c r="M37" s="4">
        <v>2.581267E10</v>
      </c>
    </row>
    <row r="38">
      <c r="A38" s="18">
        <v>45838.0</v>
      </c>
      <c r="B38" s="43">
        <v>6279.35</v>
      </c>
      <c r="C38" s="44">
        <f t="shared" si="1"/>
        <v>0.01721671713</v>
      </c>
      <c r="G38" s="3">
        <v>45838.0</v>
      </c>
      <c r="H38" s="43">
        <v>6193.36</v>
      </c>
      <c r="I38" s="43">
        <v>6284.65</v>
      </c>
      <c r="J38" s="43">
        <v>6174.97</v>
      </c>
      <c r="K38" s="43">
        <v>6279.35</v>
      </c>
      <c r="L38" s="43">
        <v>6279.35</v>
      </c>
      <c r="M38" s="4">
        <v>2.108203E10</v>
      </c>
    </row>
    <row r="39">
      <c r="A39" s="18">
        <v>45831.0</v>
      </c>
      <c r="B39" s="43">
        <v>6173.07</v>
      </c>
      <c r="C39" s="44">
        <f t="shared" si="1"/>
        <v>0.03438932679</v>
      </c>
      <c r="G39" s="3">
        <v>45831.0</v>
      </c>
      <c r="H39" s="43">
        <v>5969.67</v>
      </c>
      <c r="I39" s="43">
        <v>6187.68</v>
      </c>
      <c r="J39" s="43">
        <v>5943.23</v>
      </c>
      <c r="K39" s="43">
        <v>6173.07</v>
      </c>
      <c r="L39" s="43">
        <v>6173.07</v>
      </c>
      <c r="M39" s="4">
        <v>2.940929E10</v>
      </c>
    </row>
    <row r="40">
      <c r="A40" s="18">
        <v>45824.0</v>
      </c>
      <c r="B40" s="43">
        <v>5967.84</v>
      </c>
      <c r="C40" s="44">
        <f t="shared" si="1"/>
        <v>-0.001527529835</v>
      </c>
      <c r="G40" s="3">
        <v>45824.0</v>
      </c>
      <c r="H40" s="43">
        <v>6004.0</v>
      </c>
      <c r="I40" s="43">
        <v>6050.83</v>
      </c>
      <c r="J40" s="43">
        <v>5952.56</v>
      </c>
      <c r="K40" s="43">
        <v>5967.84</v>
      </c>
      <c r="L40" s="43">
        <v>5967.84</v>
      </c>
      <c r="M40" s="4">
        <v>2.262538E10</v>
      </c>
    </row>
    <row r="41">
      <c r="A41" s="18">
        <v>45817.0</v>
      </c>
      <c r="B41" s="43">
        <v>5976.97</v>
      </c>
      <c r="C41" s="44">
        <f t="shared" si="1"/>
        <v>-0.003898099447</v>
      </c>
      <c r="G41" s="3">
        <v>45817.0</v>
      </c>
      <c r="H41" s="43">
        <v>6004.63</v>
      </c>
      <c r="I41" s="43">
        <v>6059.4</v>
      </c>
      <c r="J41" s="43">
        <v>5963.21</v>
      </c>
      <c r="K41" s="43">
        <v>5976.97</v>
      </c>
      <c r="L41" s="43">
        <v>5976.97</v>
      </c>
      <c r="M41" s="4">
        <v>2.45652E10</v>
      </c>
    </row>
    <row r="42">
      <c r="A42" s="18">
        <v>45810.0</v>
      </c>
      <c r="B42" s="43">
        <v>6000.36</v>
      </c>
      <c r="C42" s="44">
        <f t="shared" si="1"/>
        <v>0.01499909501</v>
      </c>
      <c r="G42" s="3">
        <v>45810.0</v>
      </c>
      <c r="H42" s="43">
        <v>5896.68</v>
      </c>
      <c r="I42" s="43">
        <v>6016.87</v>
      </c>
      <c r="J42" s="43">
        <v>5861.43</v>
      </c>
      <c r="K42" s="43">
        <v>6000.36</v>
      </c>
      <c r="L42" s="43">
        <v>6000.36</v>
      </c>
      <c r="M42" s="4">
        <v>2.407353E10</v>
      </c>
    </row>
    <row r="43">
      <c r="A43" s="18">
        <v>45803.0</v>
      </c>
      <c r="B43" s="43">
        <v>5911.69</v>
      </c>
      <c r="C43" s="44">
        <f t="shared" si="1"/>
        <v>0.01876156765</v>
      </c>
      <c r="G43" s="7">
        <v>45803.0</v>
      </c>
      <c r="H43" s="43">
        <v>5854.07</v>
      </c>
      <c r="I43" s="43">
        <v>5943.13</v>
      </c>
      <c r="J43" s="43">
        <v>5843.66</v>
      </c>
      <c r="K43" s="43">
        <v>5911.69</v>
      </c>
      <c r="L43" s="43">
        <v>5911.69</v>
      </c>
      <c r="M43" s="4">
        <v>2.097972E10</v>
      </c>
    </row>
    <row r="44">
      <c r="A44" s="18">
        <v>45796.0</v>
      </c>
      <c r="B44" s="43">
        <v>5802.82</v>
      </c>
      <c r="C44" s="44">
        <f t="shared" si="1"/>
        <v>-0.02610776755</v>
      </c>
      <c r="G44" s="7">
        <v>45796.0</v>
      </c>
      <c r="H44" s="43">
        <v>5902.88</v>
      </c>
      <c r="I44" s="43">
        <v>5968.61</v>
      </c>
      <c r="J44" s="43">
        <v>5767.41</v>
      </c>
      <c r="K44" s="43">
        <v>5802.82</v>
      </c>
      <c r="L44" s="43">
        <v>5802.82</v>
      </c>
      <c r="M44" s="4">
        <v>2.363498E10</v>
      </c>
    </row>
    <row r="45">
      <c r="A45" s="18">
        <v>45789.0</v>
      </c>
      <c r="B45" s="43">
        <v>5958.38</v>
      </c>
      <c r="C45" s="44">
        <f t="shared" si="1"/>
        <v>0.05273405408</v>
      </c>
      <c r="G45" s="7">
        <v>45789.0</v>
      </c>
      <c r="H45" s="43">
        <v>5807.2</v>
      </c>
      <c r="I45" s="43">
        <v>5958.62</v>
      </c>
      <c r="J45" s="43">
        <v>5786.08</v>
      </c>
      <c r="K45" s="43">
        <v>5958.38</v>
      </c>
      <c r="L45" s="43">
        <v>5958.38</v>
      </c>
      <c r="M45" s="4">
        <v>2.660646E10</v>
      </c>
    </row>
    <row r="46">
      <c r="A46" s="18">
        <v>45782.0</v>
      </c>
      <c r="B46" s="43">
        <v>5659.91</v>
      </c>
      <c r="C46" s="44">
        <f t="shared" si="1"/>
        <v>-0.004705741673</v>
      </c>
      <c r="G46" s="7">
        <v>45782.0</v>
      </c>
      <c r="H46" s="43">
        <v>5655.32</v>
      </c>
      <c r="I46" s="43">
        <v>5720.1</v>
      </c>
      <c r="J46" s="43">
        <v>5578.64</v>
      </c>
      <c r="K46" s="43">
        <v>5659.91</v>
      </c>
      <c r="L46" s="43">
        <v>5659.91</v>
      </c>
      <c r="M46" s="4">
        <v>2.433545E10</v>
      </c>
    </row>
    <row r="47">
      <c r="A47" s="18">
        <v>45775.0</v>
      </c>
      <c r="B47" s="43">
        <v>5686.67</v>
      </c>
      <c r="C47" s="44">
        <f t="shared" si="1"/>
        <v>0.0292224187</v>
      </c>
      <c r="G47" s="3">
        <v>45775.0</v>
      </c>
      <c r="H47" s="43">
        <v>5529.22</v>
      </c>
      <c r="I47" s="43">
        <v>5700.7</v>
      </c>
      <c r="J47" s="43">
        <v>5433.24</v>
      </c>
      <c r="K47" s="43">
        <v>5686.67</v>
      </c>
      <c r="L47" s="43">
        <v>5686.67</v>
      </c>
      <c r="M47" s="4">
        <v>2.424417E10</v>
      </c>
    </row>
    <row r="48">
      <c r="A48" s="18">
        <v>45768.0</v>
      </c>
      <c r="B48" s="43">
        <v>5525.21</v>
      </c>
      <c r="C48" s="44">
        <f t="shared" si="1"/>
        <v>0.04590644935</v>
      </c>
      <c r="G48" s="3">
        <v>45768.0</v>
      </c>
      <c r="H48" s="43">
        <v>5232.94</v>
      </c>
      <c r="I48" s="43">
        <v>5528.11</v>
      </c>
      <c r="J48" s="43">
        <v>5101.63</v>
      </c>
      <c r="K48" s="43">
        <v>5525.21</v>
      </c>
      <c r="L48" s="43">
        <v>5525.21</v>
      </c>
      <c r="M48" s="4">
        <v>2.319897E10</v>
      </c>
    </row>
    <row r="49">
      <c r="A49" s="18">
        <v>45761.0</v>
      </c>
      <c r="B49" s="43">
        <v>5282.7</v>
      </c>
      <c r="C49" s="44">
        <f t="shared" si="1"/>
        <v>-0.01503907998</v>
      </c>
      <c r="G49" s="3">
        <v>45761.0</v>
      </c>
      <c r="H49" s="43">
        <v>5441.96</v>
      </c>
      <c r="I49" s="43">
        <v>5459.46</v>
      </c>
      <c r="J49" s="43">
        <v>5220.79</v>
      </c>
      <c r="K49" s="43">
        <v>5282.7</v>
      </c>
      <c r="L49" s="43">
        <v>5282.7</v>
      </c>
      <c r="M49" s="4">
        <v>1.867118E10</v>
      </c>
    </row>
    <row r="50">
      <c r="A50" s="18">
        <v>45754.0</v>
      </c>
      <c r="B50" s="43">
        <v>5363.36</v>
      </c>
      <c r="C50" s="44">
        <f t="shared" si="1"/>
        <v>0.05701132028</v>
      </c>
      <c r="G50" s="3">
        <v>45754.0</v>
      </c>
      <c r="H50" s="43">
        <v>4953.79</v>
      </c>
      <c r="I50" s="43">
        <v>5481.34</v>
      </c>
      <c r="J50" s="43">
        <v>4835.04</v>
      </c>
      <c r="K50" s="43">
        <v>5363.36</v>
      </c>
      <c r="L50" s="43">
        <v>5363.36</v>
      </c>
      <c r="M50" s="4">
        <v>3.786941E10</v>
      </c>
    </row>
    <row r="51">
      <c r="A51" s="18">
        <v>45747.0</v>
      </c>
      <c r="B51" s="43">
        <v>5074.08</v>
      </c>
      <c r="C51" s="44">
        <f t="shared" si="1"/>
        <v>-0.09081982605</v>
      </c>
      <c r="G51" s="3">
        <v>45747.0</v>
      </c>
      <c r="H51" s="43">
        <v>5527.91</v>
      </c>
      <c r="I51" s="43">
        <v>5695.31</v>
      </c>
      <c r="J51" s="43">
        <v>5069.9</v>
      </c>
      <c r="K51" s="43">
        <v>5074.08</v>
      </c>
      <c r="L51" s="43">
        <v>5074.08</v>
      </c>
      <c r="M51" s="4">
        <v>2.999955E10</v>
      </c>
    </row>
    <row r="52">
      <c r="A52" s="18">
        <v>45740.0</v>
      </c>
      <c r="B52" s="43">
        <v>5580.94</v>
      </c>
      <c r="C52" s="44">
        <f t="shared" si="1"/>
        <v>-0.01528347296</v>
      </c>
      <c r="G52" s="3">
        <v>45740.0</v>
      </c>
      <c r="H52" s="43">
        <v>5718.08</v>
      </c>
      <c r="I52" s="43">
        <v>5786.95</v>
      </c>
      <c r="J52" s="43">
        <v>5572.42</v>
      </c>
      <c r="K52" s="43">
        <v>5580.94</v>
      </c>
      <c r="L52" s="43">
        <v>5580.94</v>
      </c>
      <c r="M52" s="4">
        <v>2.208526E10</v>
      </c>
    </row>
    <row r="53">
      <c r="A53" s="18">
        <v>45733.0</v>
      </c>
      <c r="B53" s="43">
        <v>5667.56</v>
      </c>
      <c r="C53" s="44">
        <f t="shared" si="1"/>
        <v>0.005075421976</v>
      </c>
      <c r="G53" s="3">
        <v>45733.0</v>
      </c>
      <c r="H53" s="43">
        <v>5635.6</v>
      </c>
      <c r="I53" s="43">
        <v>5715.33</v>
      </c>
      <c r="J53" s="43">
        <v>5597.76</v>
      </c>
      <c r="K53" s="43">
        <v>5667.56</v>
      </c>
      <c r="L53" s="43">
        <v>5667.56</v>
      </c>
      <c r="M53" s="4">
        <v>2.840401E10</v>
      </c>
    </row>
    <row r="54">
      <c r="A54" s="18">
        <v>45726.0</v>
      </c>
      <c r="B54" s="43">
        <v>5638.94</v>
      </c>
      <c r="C54" s="44"/>
      <c r="G54" s="3">
        <v>45726.0</v>
      </c>
      <c r="H54" s="43">
        <v>5603.65</v>
      </c>
      <c r="I54" s="43">
        <v>5645.27</v>
      </c>
      <c r="J54" s="43">
        <v>5504.65</v>
      </c>
      <c r="K54" s="43">
        <v>5638.94</v>
      </c>
      <c r="L54" s="43">
        <v>5638.94</v>
      </c>
      <c r="M54" s="4">
        <v>2.132323E10</v>
      </c>
    </row>
    <row r="55">
      <c r="A55" s="45"/>
      <c r="C55" s="44"/>
    </row>
    <row r="56">
      <c r="A56" s="45"/>
      <c r="C56" s="44"/>
    </row>
    <row r="57">
      <c r="A57" s="45"/>
      <c r="C57" s="44"/>
    </row>
    <row r="58">
      <c r="A58" s="45"/>
      <c r="C58" s="44"/>
    </row>
    <row r="59">
      <c r="A59" s="45"/>
      <c r="C59" s="44"/>
    </row>
    <row r="60">
      <c r="A60" s="45"/>
      <c r="C60" s="44"/>
    </row>
    <row r="61">
      <c r="A61" s="45"/>
      <c r="C61" s="44"/>
    </row>
    <row r="62">
      <c r="A62" s="45"/>
      <c r="C62" s="44"/>
    </row>
    <row r="63">
      <c r="A63" s="45"/>
      <c r="C63" s="44"/>
    </row>
    <row r="64">
      <c r="A64" s="45"/>
      <c r="C64" s="44"/>
    </row>
    <row r="65">
      <c r="A65" s="45"/>
      <c r="C65" s="44"/>
    </row>
    <row r="66">
      <c r="A66" s="45"/>
      <c r="C66" s="44"/>
    </row>
    <row r="67">
      <c r="A67" s="45"/>
      <c r="C67" s="44"/>
    </row>
    <row r="68">
      <c r="A68" s="45"/>
      <c r="C68" s="44"/>
    </row>
    <row r="69">
      <c r="A69" s="45"/>
      <c r="C69" s="44"/>
    </row>
    <row r="70">
      <c r="A70" s="45"/>
      <c r="C70" s="44"/>
    </row>
    <row r="71">
      <c r="A71" s="45"/>
      <c r="C71" s="44"/>
    </row>
    <row r="72">
      <c r="A72" s="45"/>
      <c r="C72" s="44"/>
    </row>
    <row r="73">
      <c r="A73" s="45"/>
      <c r="C73" s="44"/>
    </row>
    <row r="74">
      <c r="A74" s="45"/>
      <c r="C74" s="44"/>
    </row>
    <row r="75">
      <c r="A75" s="45"/>
      <c r="C75" s="44"/>
    </row>
    <row r="76">
      <c r="A76" s="45"/>
      <c r="C76" s="44"/>
    </row>
    <row r="77">
      <c r="A77" s="45"/>
      <c r="C77" s="44"/>
    </row>
    <row r="78">
      <c r="A78" s="45"/>
      <c r="C78" s="44"/>
    </row>
    <row r="79">
      <c r="A79" s="45"/>
      <c r="C79" s="44"/>
    </row>
    <row r="80">
      <c r="A80" s="45"/>
      <c r="C80" s="44"/>
    </row>
    <row r="81">
      <c r="A81" s="45"/>
      <c r="C81" s="44"/>
    </row>
    <row r="82">
      <c r="A82" s="45"/>
      <c r="C82" s="44"/>
    </row>
    <row r="83">
      <c r="A83" s="45"/>
      <c r="C83" s="44"/>
    </row>
    <row r="84">
      <c r="A84" s="45"/>
      <c r="C84" s="44"/>
    </row>
    <row r="85">
      <c r="A85" s="45"/>
      <c r="C85" s="44"/>
    </row>
    <row r="86">
      <c r="A86" s="45"/>
      <c r="C86" s="44"/>
    </row>
    <row r="87">
      <c r="A87" s="45"/>
      <c r="C87" s="44"/>
    </row>
    <row r="88">
      <c r="A88" s="45"/>
      <c r="C88" s="44"/>
    </row>
    <row r="89">
      <c r="A89" s="45"/>
      <c r="C89" s="44"/>
    </row>
    <row r="90">
      <c r="A90" s="45"/>
      <c r="C90" s="44"/>
    </row>
    <row r="91">
      <c r="A91" s="45"/>
      <c r="C91" s="44"/>
    </row>
    <row r="92">
      <c r="A92" s="45"/>
      <c r="C92" s="44"/>
    </row>
    <row r="93">
      <c r="A93" s="45"/>
      <c r="C93" s="44"/>
    </row>
    <row r="94">
      <c r="A94" s="45"/>
      <c r="C94" s="44"/>
    </row>
    <row r="95">
      <c r="A95" s="45"/>
      <c r="C95" s="44"/>
    </row>
    <row r="96">
      <c r="A96" s="45"/>
      <c r="C96" s="44"/>
    </row>
    <row r="97">
      <c r="A97" s="45"/>
      <c r="C97" s="44"/>
    </row>
    <row r="98">
      <c r="A98" s="45"/>
      <c r="C98" s="44"/>
    </row>
    <row r="99">
      <c r="A99" s="45"/>
      <c r="C99" s="44"/>
    </row>
    <row r="100">
      <c r="A100" s="45"/>
      <c r="C100" s="44"/>
    </row>
    <row r="101">
      <c r="A101" s="45"/>
      <c r="C101" s="44"/>
    </row>
    <row r="102">
      <c r="A102" s="45"/>
      <c r="C102" s="44"/>
    </row>
    <row r="103">
      <c r="A103" s="45"/>
      <c r="C103" s="44"/>
    </row>
    <row r="104">
      <c r="A104" s="45"/>
      <c r="C104" s="44"/>
    </row>
    <row r="105">
      <c r="A105" s="45"/>
      <c r="C105" s="44"/>
    </row>
    <row r="106">
      <c r="A106" s="45"/>
      <c r="C106" s="44"/>
    </row>
    <row r="107">
      <c r="A107" s="45"/>
      <c r="C107" s="44"/>
    </row>
    <row r="108">
      <c r="A108" s="45"/>
      <c r="C108" s="44"/>
    </row>
    <row r="109">
      <c r="A109" s="45"/>
      <c r="C109" s="44"/>
    </row>
    <row r="110">
      <c r="A110" s="45"/>
      <c r="C110" s="44"/>
    </row>
    <row r="111">
      <c r="A111" s="45"/>
      <c r="C111" s="44"/>
    </row>
    <row r="112">
      <c r="A112" s="45"/>
      <c r="C112" s="44"/>
    </row>
    <row r="113">
      <c r="A113" s="45"/>
      <c r="C113" s="44"/>
    </row>
    <row r="114">
      <c r="A114" s="45"/>
      <c r="C114" s="44"/>
    </row>
    <row r="115">
      <c r="A115" s="45"/>
      <c r="C115" s="44"/>
    </row>
    <row r="116">
      <c r="A116" s="45"/>
      <c r="C116" s="44"/>
    </row>
    <row r="117">
      <c r="A117" s="45"/>
      <c r="C117" s="44"/>
    </row>
    <row r="118">
      <c r="A118" s="45"/>
      <c r="C118" s="44"/>
    </row>
    <row r="119">
      <c r="A119" s="45"/>
      <c r="C119" s="44"/>
    </row>
    <row r="120">
      <c r="A120" s="45"/>
      <c r="C120" s="44"/>
    </row>
    <row r="121">
      <c r="A121" s="45"/>
      <c r="C121" s="44"/>
    </row>
    <row r="122">
      <c r="A122" s="45"/>
      <c r="C122" s="44"/>
    </row>
    <row r="123">
      <c r="A123" s="45"/>
      <c r="C123" s="44"/>
    </row>
    <row r="124">
      <c r="A124" s="45"/>
      <c r="C124" s="44"/>
    </row>
    <row r="125">
      <c r="A125" s="45"/>
      <c r="C125" s="44"/>
    </row>
    <row r="126">
      <c r="A126" s="45"/>
      <c r="C126" s="44"/>
    </row>
    <row r="127">
      <c r="A127" s="45"/>
      <c r="C127" s="44"/>
    </row>
    <row r="128">
      <c r="A128" s="45"/>
      <c r="C128" s="44"/>
    </row>
    <row r="129">
      <c r="A129" s="45"/>
      <c r="C129" s="44"/>
    </row>
    <row r="130">
      <c r="A130" s="45"/>
      <c r="C130" s="44"/>
    </row>
    <row r="131">
      <c r="A131" s="45"/>
      <c r="C131" s="44"/>
    </row>
    <row r="132">
      <c r="A132" s="45"/>
      <c r="C132" s="44"/>
    </row>
    <row r="133">
      <c r="A133" s="45"/>
      <c r="C133" s="44"/>
    </row>
    <row r="134">
      <c r="A134" s="45"/>
      <c r="C134" s="44"/>
    </row>
    <row r="135">
      <c r="A135" s="45"/>
      <c r="C135" s="44"/>
    </row>
    <row r="136">
      <c r="A136" s="45"/>
      <c r="C136" s="44"/>
    </row>
    <row r="137">
      <c r="A137" s="45"/>
      <c r="C137" s="44"/>
    </row>
    <row r="138">
      <c r="A138" s="45"/>
      <c r="C138" s="44"/>
    </row>
    <row r="139">
      <c r="A139" s="45"/>
      <c r="C139" s="44"/>
    </row>
    <row r="140">
      <c r="A140" s="45"/>
      <c r="C140" s="44"/>
    </row>
    <row r="141">
      <c r="A141" s="45"/>
      <c r="C141" s="44"/>
    </row>
    <row r="142">
      <c r="A142" s="45"/>
      <c r="C142" s="44"/>
    </row>
    <row r="143">
      <c r="A143" s="45"/>
      <c r="C143" s="44"/>
    </row>
    <row r="144">
      <c r="A144" s="45"/>
      <c r="C144" s="44"/>
    </row>
    <row r="145">
      <c r="A145" s="45"/>
      <c r="C145" s="44"/>
    </row>
    <row r="146">
      <c r="A146" s="45"/>
      <c r="C146" s="44"/>
    </row>
    <row r="147">
      <c r="A147" s="45"/>
      <c r="C147" s="44"/>
    </row>
    <row r="148">
      <c r="A148" s="45"/>
      <c r="C148" s="44"/>
    </row>
    <row r="149">
      <c r="A149" s="45"/>
      <c r="C149" s="44"/>
    </row>
    <row r="150">
      <c r="A150" s="45"/>
      <c r="C150" s="44"/>
    </row>
    <row r="151">
      <c r="A151" s="45"/>
      <c r="C151" s="44"/>
    </row>
    <row r="152">
      <c r="A152" s="45"/>
      <c r="C152" s="44"/>
    </row>
    <row r="153">
      <c r="A153" s="45"/>
      <c r="C153" s="44"/>
    </row>
    <row r="154">
      <c r="A154" s="45"/>
      <c r="C154" s="44"/>
    </row>
    <row r="155">
      <c r="A155" s="45"/>
      <c r="C155" s="44"/>
    </row>
    <row r="156">
      <c r="A156" s="45"/>
      <c r="C156" s="44"/>
    </row>
    <row r="157">
      <c r="A157" s="45"/>
      <c r="C157" s="44"/>
    </row>
    <row r="158">
      <c r="A158" s="45"/>
      <c r="C158" s="44"/>
    </row>
    <row r="159">
      <c r="A159" s="45"/>
      <c r="C159" s="44"/>
    </row>
    <row r="160">
      <c r="A160" s="45"/>
      <c r="C160" s="44"/>
    </row>
    <row r="161">
      <c r="A161" s="45"/>
      <c r="C161" s="44"/>
    </row>
    <row r="162">
      <c r="A162" s="45"/>
      <c r="C162" s="44"/>
    </row>
    <row r="163">
      <c r="A163" s="45"/>
      <c r="C163" s="44"/>
    </row>
    <row r="164">
      <c r="A164" s="45"/>
      <c r="C164" s="44"/>
    </row>
    <row r="165">
      <c r="A165" s="45"/>
      <c r="C165" s="44"/>
    </row>
    <row r="166">
      <c r="A166" s="45"/>
      <c r="C166" s="44"/>
    </row>
    <row r="167">
      <c r="A167" s="45"/>
      <c r="C167" s="44"/>
    </row>
    <row r="168">
      <c r="A168" s="45"/>
      <c r="C168" s="44"/>
    </row>
    <row r="169">
      <c r="A169" s="45"/>
      <c r="C169" s="44"/>
    </row>
    <row r="170">
      <c r="A170" s="45"/>
      <c r="C170" s="44"/>
    </row>
    <row r="171">
      <c r="A171" s="45"/>
      <c r="C171" s="44"/>
    </row>
    <row r="172">
      <c r="A172" s="45"/>
      <c r="C172" s="44"/>
    </row>
    <row r="173">
      <c r="A173" s="45"/>
      <c r="C173" s="44"/>
    </row>
    <row r="174">
      <c r="A174" s="45"/>
      <c r="C174" s="44"/>
    </row>
    <row r="175">
      <c r="A175" s="45"/>
      <c r="C175" s="44"/>
    </row>
    <row r="176">
      <c r="A176" s="45"/>
      <c r="C176" s="44"/>
    </row>
    <row r="177">
      <c r="A177" s="45"/>
      <c r="C177" s="44"/>
    </row>
    <row r="178">
      <c r="A178" s="45"/>
      <c r="C178" s="44"/>
    </row>
    <row r="179">
      <c r="A179" s="45"/>
      <c r="C179" s="44"/>
    </row>
    <row r="180">
      <c r="A180" s="45"/>
      <c r="C180" s="44"/>
    </row>
    <row r="181">
      <c r="A181" s="45"/>
      <c r="C181" s="44"/>
    </row>
    <row r="182">
      <c r="A182" s="45"/>
      <c r="C182" s="44"/>
    </row>
    <row r="183">
      <c r="A183" s="45"/>
      <c r="C183" s="44"/>
    </row>
    <row r="184">
      <c r="A184" s="45"/>
      <c r="C184" s="44"/>
    </row>
    <row r="185">
      <c r="A185" s="45"/>
      <c r="C185" s="44"/>
    </row>
    <row r="186">
      <c r="A186" s="45"/>
      <c r="C186" s="44"/>
    </row>
    <row r="187">
      <c r="A187" s="45"/>
      <c r="C187" s="44"/>
    </row>
    <row r="188">
      <c r="A188" s="45"/>
      <c r="C188" s="44"/>
    </row>
    <row r="189">
      <c r="A189" s="45"/>
      <c r="C189" s="44"/>
    </row>
    <row r="190">
      <c r="A190" s="45"/>
      <c r="C190" s="44"/>
    </row>
    <row r="191">
      <c r="A191" s="45"/>
      <c r="C191" s="44"/>
    </row>
    <row r="192">
      <c r="A192" s="45"/>
      <c r="C192" s="44"/>
    </row>
    <row r="193">
      <c r="A193" s="45"/>
      <c r="C193" s="44"/>
    </row>
    <row r="194">
      <c r="A194" s="45"/>
      <c r="C194" s="44"/>
    </row>
    <row r="195">
      <c r="A195" s="45"/>
      <c r="C195" s="44"/>
    </row>
    <row r="196">
      <c r="A196" s="45"/>
      <c r="C196" s="44"/>
    </row>
    <row r="197">
      <c r="A197" s="45"/>
      <c r="C197" s="44"/>
    </row>
    <row r="198">
      <c r="A198" s="45"/>
      <c r="C198" s="44"/>
    </row>
    <row r="199">
      <c r="A199" s="45"/>
      <c r="C199" s="44"/>
    </row>
    <row r="200">
      <c r="A200" s="45"/>
      <c r="C200" s="44"/>
    </row>
    <row r="201">
      <c r="A201" s="45"/>
      <c r="C201" s="44"/>
    </row>
    <row r="202">
      <c r="A202" s="45"/>
      <c r="C202" s="44"/>
    </row>
    <row r="203">
      <c r="A203" s="45"/>
      <c r="C203" s="44"/>
    </row>
    <row r="204">
      <c r="A204" s="45"/>
      <c r="C204" s="44"/>
    </row>
    <row r="205">
      <c r="A205" s="45"/>
      <c r="C205" s="44"/>
    </row>
    <row r="206">
      <c r="A206" s="45"/>
      <c r="C206" s="44"/>
    </row>
    <row r="207">
      <c r="A207" s="45"/>
      <c r="C207" s="44"/>
    </row>
    <row r="208">
      <c r="A208" s="45"/>
      <c r="C208" s="44"/>
    </row>
    <row r="209">
      <c r="A209" s="45"/>
      <c r="C209" s="44"/>
    </row>
    <row r="210">
      <c r="A210" s="45"/>
      <c r="C210" s="44"/>
    </row>
    <row r="211">
      <c r="A211" s="45"/>
      <c r="C211" s="44"/>
    </row>
    <row r="212">
      <c r="A212" s="45"/>
      <c r="C212" s="44"/>
    </row>
    <row r="213">
      <c r="A213" s="45"/>
      <c r="C213" s="44"/>
    </row>
    <row r="214">
      <c r="A214" s="45"/>
      <c r="C214" s="44"/>
    </row>
    <row r="215">
      <c r="A215" s="45"/>
      <c r="C215" s="44"/>
    </row>
    <row r="216">
      <c r="A216" s="45"/>
      <c r="C216" s="44"/>
    </row>
    <row r="217">
      <c r="A217" s="45"/>
      <c r="C217" s="44"/>
    </row>
    <row r="218">
      <c r="A218" s="45"/>
      <c r="C218" s="44"/>
    </row>
    <row r="219">
      <c r="A219" s="45"/>
      <c r="C219" s="44"/>
    </row>
    <row r="220">
      <c r="A220" s="45"/>
      <c r="C220" s="44"/>
    </row>
    <row r="221">
      <c r="A221" s="45"/>
      <c r="C221" s="44"/>
    </row>
    <row r="222">
      <c r="A222" s="45"/>
      <c r="C222" s="44"/>
    </row>
    <row r="223">
      <c r="A223" s="45"/>
      <c r="C223" s="44"/>
    </row>
    <row r="224">
      <c r="A224" s="45"/>
      <c r="C224" s="44"/>
    </row>
    <row r="225">
      <c r="A225" s="45"/>
      <c r="C225" s="44"/>
    </row>
    <row r="226">
      <c r="A226" s="45"/>
      <c r="C226" s="44"/>
    </row>
    <row r="227">
      <c r="A227" s="45"/>
      <c r="C227" s="44"/>
    </row>
    <row r="228">
      <c r="A228" s="45"/>
      <c r="C228" s="44"/>
    </row>
    <row r="229">
      <c r="A229" s="45"/>
      <c r="C229" s="44"/>
    </row>
    <row r="230">
      <c r="A230" s="45"/>
      <c r="C230" s="44"/>
    </row>
    <row r="231">
      <c r="A231" s="45"/>
      <c r="C231" s="44"/>
    </row>
    <row r="232">
      <c r="A232" s="45"/>
      <c r="C232" s="44"/>
    </row>
    <row r="233">
      <c r="A233" s="45"/>
      <c r="C233" s="44"/>
    </row>
    <row r="234">
      <c r="A234" s="45"/>
      <c r="C234" s="44"/>
    </row>
    <row r="235">
      <c r="A235" s="45"/>
      <c r="C235" s="44"/>
    </row>
    <row r="236">
      <c r="A236" s="45"/>
      <c r="C236" s="44"/>
    </row>
    <row r="237">
      <c r="A237" s="45"/>
      <c r="C237" s="44"/>
    </row>
    <row r="238">
      <c r="A238" s="45"/>
      <c r="C238" s="44"/>
    </row>
    <row r="239">
      <c r="A239" s="45"/>
      <c r="C239" s="44"/>
    </row>
    <row r="240">
      <c r="A240" s="45"/>
      <c r="C240" s="44"/>
    </row>
    <row r="241">
      <c r="A241" s="45"/>
      <c r="C241" s="44"/>
    </row>
    <row r="242">
      <c r="A242" s="45"/>
      <c r="C242" s="44"/>
    </row>
    <row r="243">
      <c r="A243" s="45"/>
      <c r="C243" s="44"/>
    </row>
    <row r="244">
      <c r="A244" s="45"/>
      <c r="C244" s="44"/>
    </row>
    <row r="245">
      <c r="A245" s="45"/>
      <c r="C245" s="44"/>
    </row>
    <row r="246">
      <c r="A246" s="45"/>
      <c r="C246" s="44"/>
    </row>
    <row r="247">
      <c r="A247" s="45"/>
      <c r="C247" s="44"/>
    </row>
    <row r="248">
      <c r="A248" s="45"/>
      <c r="C248" s="44"/>
    </row>
    <row r="249">
      <c r="A249" s="45"/>
      <c r="C249" s="44"/>
    </row>
    <row r="250">
      <c r="A250" s="45"/>
      <c r="C250" s="44"/>
    </row>
    <row r="251">
      <c r="A251" s="45"/>
      <c r="C251" s="44"/>
    </row>
    <row r="252">
      <c r="A252" s="45"/>
      <c r="C252" s="44"/>
    </row>
    <row r="253">
      <c r="A253" s="45"/>
      <c r="C253" s="44"/>
    </row>
    <row r="254">
      <c r="A254" s="45"/>
      <c r="C254" s="44"/>
    </row>
    <row r="255">
      <c r="A255" s="45"/>
      <c r="C255" s="44"/>
    </row>
    <row r="256">
      <c r="A256" s="45"/>
      <c r="C256" s="44"/>
    </row>
    <row r="257">
      <c r="A257" s="45"/>
      <c r="C257" s="44"/>
    </row>
    <row r="258">
      <c r="A258" s="45"/>
      <c r="C258" s="44"/>
    </row>
    <row r="259">
      <c r="A259" s="45"/>
      <c r="C259" s="44"/>
    </row>
    <row r="260">
      <c r="A260" s="45"/>
      <c r="C260" s="44"/>
    </row>
    <row r="261">
      <c r="A261" s="45"/>
      <c r="C261" s="44"/>
    </row>
    <row r="262">
      <c r="A262" s="45"/>
      <c r="C262" s="44"/>
    </row>
    <row r="263">
      <c r="A263" s="45"/>
      <c r="C263" s="44"/>
    </row>
    <row r="264">
      <c r="A264" s="45"/>
      <c r="C264" s="44"/>
    </row>
    <row r="265">
      <c r="A265" s="45"/>
      <c r="C265" s="44"/>
    </row>
    <row r="266">
      <c r="A266" s="45"/>
      <c r="C266" s="44"/>
    </row>
    <row r="267">
      <c r="A267" s="45"/>
      <c r="C267" s="44"/>
    </row>
    <row r="268">
      <c r="A268" s="45"/>
      <c r="C268" s="44"/>
    </row>
    <row r="269">
      <c r="A269" s="45"/>
      <c r="C269" s="44"/>
    </row>
    <row r="270">
      <c r="A270" s="45"/>
      <c r="C270" s="44"/>
    </row>
    <row r="271">
      <c r="A271" s="45"/>
      <c r="C271" s="44"/>
    </row>
    <row r="272">
      <c r="A272" s="45"/>
      <c r="C272" s="44"/>
    </row>
    <row r="273">
      <c r="A273" s="45"/>
      <c r="C273" s="44"/>
    </row>
    <row r="274">
      <c r="A274" s="45"/>
      <c r="C274" s="44"/>
    </row>
    <row r="275">
      <c r="A275" s="45"/>
      <c r="C275" s="44"/>
    </row>
    <row r="276">
      <c r="A276" s="45"/>
      <c r="C276" s="44"/>
    </row>
    <row r="277">
      <c r="A277" s="45"/>
      <c r="C277" s="44"/>
    </row>
    <row r="278">
      <c r="A278" s="45"/>
      <c r="C278" s="44"/>
    </row>
    <row r="279">
      <c r="A279" s="45"/>
      <c r="C279" s="44"/>
    </row>
    <row r="280">
      <c r="A280" s="45"/>
      <c r="C280" s="44"/>
    </row>
    <row r="281">
      <c r="A281" s="45"/>
      <c r="C281" s="44"/>
    </row>
    <row r="282">
      <c r="A282" s="45"/>
      <c r="C282" s="44"/>
    </row>
    <row r="283">
      <c r="A283" s="45"/>
      <c r="C283" s="44"/>
    </row>
    <row r="284">
      <c r="A284" s="45"/>
      <c r="C284" s="44"/>
    </row>
    <row r="285">
      <c r="A285" s="45"/>
      <c r="C285" s="44"/>
    </row>
    <row r="286">
      <c r="A286" s="45"/>
      <c r="C286" s="44"/>
    </row>
    <row r="287">
      <c r="A287" s="45"/>
      <c r="C287" s="44"/>
    </row>
    <row r="288">
      <c r="A288" s="45"/>
      <c r="C288" s="44"/>
    </row>
    <row r="289">
      <c r="A289" s="45"/>
      <c r="C289" s="44"/>
    </row>
    <row r="290">
      <c r="A290" s="45"/>
      <c r="C290" s="44"/>
    </row>
    <row r="291">
      <c r="A291" s="45"/>
      <c r="C291" s="44"/>
    </row>
    <row r="292">
      <c r="A292" s="45"/>
      <c r="C292" s="44"/>
    </row>
    <row r="293">
      <c r="A293" s="45"/>
      <c r="C293" s="44"/>
    </row>
    <row r="294">
      <c r="A294" s="45"/>
      <c r="C294" s="44"/>
    </row>
    <row r="295">
      <c r="A295" s="45"/>
      <c r="C295" s="44"/>
    </row>
    <row r="296">
      <c r="A296" s="45"/>
      <c r="C296" s="44"/>
    </row>
    <row r="297">
      <c r="A297" s="45"/>
      <c r="C297" s="44"/>
    </row>
    <row r="298">
      <c r="A298" s="45"/>
      <c r="C298" s="44"/>
    </row>
    <row r="299">
      <c r="A299" s="45"/>
      <c r="C299" s="44"/>
    </row>
    <row r="300">
      <c r="A300" s="45"/>
      <c r="C300" s="44"/>
    </row>
    <row r="301">
      <c r="A301" s="45"/>
      <c r="C301" s="44"/>
    </row>
    <row r="302">
      <c r="A302" s="45"/>
      <c r="C302" s="44"/>
    </row>
    <row r="303">
      <c r="A303" s="45"/>
      <c r="C303" s="44"/>
    </row>
    <row r="304">
      <c r="A304" s="45"/>
      <c r="C304" s="44"/>
    </row>
    <row r="305">
      <c r="A305" s="45"/>
      <c r="C305" s="44"/>
    </row>
    <row r="306">
      <c r="A306" s="45"/>
      <c r="C306" s="44"/>
    </row>
    <row r="307">
      <c r="A307" s="45"/>
      <c r="C307" s="44"/>
    </row>
    <row r="308">
      <c r="A308" s="45"/>
      <c r="C308" s="44"/>
    </row>
    <row r="309">
      <c r="A309" s="45"/>
      <c r="C309" s="44"/>
    </row>
    <row r="310">
      <c r="A310" s="45"/>
      <c r="C310" s="44"/>
    </row>
    <row r="311">
      <c r="A311" s="45"/>
      <c r="C311" s="44"/>
    </row>
    <row r="312">
      <c r="A312" s="45"/>
      <c r="C312" s="44"/>
    </row>
    <row r="313">
      <c r="A313" s="45"/>
      <c r="C313" s="44"/>
    </row>
    <row r="314">
      <c r="A314" s="45"/>
      <c r="C314" s="44"/>
    </row>
    <row r="315">
      <c r="A315" s="45"/>
      <c r="C315" s="44"/>
    </row>
    <row r="316">
      <c r="A316" s="45"/>
      <c r="C316" s="44"/>
    </row>
    <row r="317">
      <c r="A317" s="45"/>
      <c r="C317" s="44"/>
    </row>
    <row r="318">
      <c r="A318" s="45"/>
      <c r="C318" s="44"/>
    </row>
    <row r="319">
      <c r="A319" s="45"/>
      <c r="C319" s="44"/>
    </row>
    <row r="320">
      <c r="A320" s="45"/>
      <c r="C320" s="44"/>
    </row>
    <row r="321">
      <c r="A321" s="45"/>
      <c r="C321" s="44"/>
    </row>
    <row r="322">
      <c r="A322" s="45"/>
      <c r="C322" s="44"/>
    </row>
    <row r="323">
      <c r="A323" s="45"/>
      <c r="C323" s="44"/>
    </row>
    <row r="324">
      <c r="A324" s="45"/>
      <c r="C324" s="44"/>
    </row>
    <row r="325">
      <c r="A325" s="45"/>
      <c r="C325" s="44"/>
    </row>
    <row r="326">
      <c r="A326" s="45"/>
      <c r="C326" s="44"/>
    </row>
    <row r="327">
      <c r="A327" s="45"/>
      <c r="C327" s="44"/>
    </row>
    <row r="328">
      <c r="A328" s="45"/>
      <c r="C328" s="44"/>
    </row>
    <row r="329">
      <c r="A329" s="45"/>
      <c r="C329" s="44"/>
    </row>
    <row r="330">
      <c r="A330" s="45"/>
      <c r="C330" s="44"/>
    </row>
    <row r="331">
      <c r="A331" s="45"/>
      <c r="C331" s="44"/>
    </row>
    <row r="332">
      <c r="A332" s="45"/>
      <c r="C332" s="44"/>
    </row>
    <row r="333">
      <c r="A333" s="45"/>
      <c r="C333" s="44"/>
    </row>
    <row r="334">
      <c r="A334" s="45"/>
      <c r="C334" s="44"/>
    </row>
    <row r="335">
      <c r="A335" s="45"/>
      <c r="C335" s="44"/>
    </row>
    <row r="336">
      <c r="A336" s="45"/>
      <c r="C336" s="44"/>
    </row>
    <row r="337">
      <c r="A337" s="45"/>
      <c r="C337" s="44"/>
    </row>
    <row r="338">
      <c r="A338" s="45"/>
      <c r="C338" s="44"/>
    </row>
    <row r="339">
      <c r="A339" s="45"/>
      <c r="C339" s="44"/>
    </row>
    <row r="340">
      <c r="A340" s="45"/>
      <c r="C340" s="44"/>
    </row>
    <row r="341">
      <c r="A341" s="45"/>
      <c r="C341" s="44"/>
    </row>
    <row r="342">
      <c r="A342" s="45"/>
      <c r="C342" s="44"/>
    </row>
    <row r="343">
      <c r="A343" s="45"/>
      <c r="C343" s="44"/>
    </row>
    <row r="344">
      <c r="A344" s="45"/>
      <c r="C344" s="44"/>
    </row>
    <row r="345">
      <c r="A345" s="45"/>
      <c r="C345" s="44"/>
    </row>
    <row r="346">
      <c r="A346" s="45"/>
      <c r="C346" s="44"/>
    </row>
    <row r="347">
      <c r="A347" s="45"/>
      <c r="C347" s="44"/>
    </row>
    <row r="348">
      <c r="A348" s="45"/>
      <c r="C348" s="44"/>
    </row>
    <row r="349">
      <c r="A349" s="45"/>
      <c r="C349" s="44"/>
    </row>
    <row r="350">
      <c r="A350" s="45"/>
      <c r="C350" s="44"/>
    </row>
    <row r="351">
      <c r="A351" s="45"/>
      <c r="C351" s="44"/>
    </row>
    <row r="352">
      <c r="A352" s="45"/>
      <c r="C352" s="44"/>
    </row>
    <row r="353">
      <c r="A353" s="45"/>
      <c r="C353" s="44"/>
    </row>
    <row r="354">
      <c r="A354" s="45"/>
      <c r="C354" s="44"/>
    </row>
    <row r="355">
      <c r="A355" s="45"/>
      <c r="C355" s="44"/>
    </row>
    <row r="356">
      <c r="A356" s="45"/>
      <c r="C356" s="44"/>
    </row>
    <row r="357">
      <c r="A357" s="45"/>
      <c r="C357" s="44"/>
    </row>
    <row r="358">
      <c r="A358" s="45"/>
      <c r="C358" s="44"/>
    </row>
    <row r="359">
      <c r="A359" s="45"/>
      <c r="C359" s="44"/>
    </row>
    <row r="360">
      <c r="A360" s="45"/>
      <c r="C360" s="44"/>
    </row>
    <row r="361">
      <c r="A361" s="45"/>
      <c r="C361" s="44"/>
    </row>
    <row r="362">
      <c r="A362" s="45"/>
      <c r="C362" s="44"/>
    </row>
    <row r="363">
      <c r="A363" s="45"/>
      <c r="C363" s="44"/>
    </row>
    <row r="364">
      <c r="A364" s="45"/>
      <c r="C364" s="44"/>
    </row>
    <row r="365">
      <c r="A365" s="45"/>
      <c r="C365" s="44"/>
    </row>
    <row r="366">
      <c r="A366" s="45"/>
      <c r="C366" s="44"/>
    </row>
    <row r="367">
      <c r="A367" s="45"/>
      <c r="C367" s="44"/>
    </row>
    <row r="368">
      <c r="A368" s="45"/>
      <c r="C368" s="44"/>
    </row>
    <row r="369">
      <c r="A369" s="45"/>
      <c r="C369" s="44"/>
    </row>
    <row r="370">
      <c r="A370" s="45"/>
      <c r="C370" s="44"/>
    </row>
    <row r="371">
      <c r="A371" s="45"/>
      <c r="C371" s="44"/>
    </row>
    <row r="372">
      <c r="A372" s="45"/>
      <c r="C372" s="44"/>
    </row>
    <row r="373">
      <c r="A373" s="45"/>
      <c r="C373" s="44"/>
    </row>
    <row r="374">
      <c r="A374" s="45"/>
      <c r="C374" s="44"/>
    </row>
    <row r="375">
      <c r="A375" s="45"/>
      <c r="C375" s="44"/>
    </row>
    <row r="376">
      <c r="A376" s="45"/>
      <c r="C376" s="44"/>
    </row>
    <row r="377">
      <c r="A377" s="45"/>
      <c r="C377" s="44"/>
    </row>
    <row r="378">
      <c r="A378" s="45"/>
      <c r="C378" s="44"/>
    </row>
    <row r="379">
      <c r="A379" s="45"/>
      <c r="C379" s="44"/>
    </row>
    <row r="380">
      <c r="A380" s="45"/>
      <c r="C380" s="44"/>
    </row>
    <row r="381">
      <c r="A381" s="45"/>
      <c r="C381" s="44"/>
    </row>
    <row r="382">
      <c r="A382" s="45"/>
      <c r="C382" s="44"/>
    </row>
    <row r="383">
      <c r="A383" s="45"/>
      <c r="C383" s="44"/>
    </row>
    <row r="384">
      <c r="A384" s="45"/>
      <c r="C384" s="44"/>
    </row>
    <row r="385">
      <c r="A385" s="45"/>
      <c r="C385" s="44"/>
    </row>
    <row r="386">
      <c r="A386" s="45"/>
      <c r="C386" s="44"/>
    </row>
    <row r="387">
      <c r="A387" s="45"/>
      <c r="C387" s="44"/>
    </row>
    <row r="388">
      <c r="A388" s="45"/>
      <c r="C388" s="44"/>
    </row>
    <row r="389">
      <c r="A389" s="45"/>
      <c r="C389" s="44"/>
    </row>
    <row r="390">
      <c r="A390" s="45"/>
      <c r="C390" s="44"/>
    </row>
    <row r="391">
      <c r="A391" s="45"/>
      <c r="C391" s="44"/>
    </row>
    <row r="392">
      <c r="A392" s="45"/>
      <c r="C392" s="44"/>
    </row>
    <row r="393">
      <c r="A393" s="45"/>
      <c r="C393" s="44"/>
    </row>
    <row r="394">
      <c r="A394" s="45"/>
      <c r="C394" s="44"/>
    </row>
    <row r="395">
      <c r="A395" s="45"/>
      <c r="C395" s="44"/>
    </row>
    <row r="396">
      <c r="A396" s="45"/>
      <c r="C396" s="44"/>
    </row>
    <row r="397">
      <c r="A397" s="45"/>
      <c r="C397" s="44"/>
    </row>
    <row r="398">
      <c r="A398" s="45"/>
      <c r="C398" s="44"/>
    </row>
    <row r="399">
      <c r="A399" s="45"/>
      <c r="C399" s="44"/>
    </row>
    <row r="400">
      <c r="A400" s="45"/>
      <c r="C400" s="44"/>
    </row>
    <row r="401">
      <c r="A401" s="45"/>
      <c r="C401" s="44"/>
    </row>
    <row r="402">
      <c r="A402" s="45"/>
      <c r="C402" s="44"/>
    </row>
    <row r="403">
      <c r="A403" s="45"/>
      <c r="C403" s="44"/>
    </row>
    <row r="404">
      <c r="A404" s="45"/>
      <c r="C404" s="44"/>
    </row>
    <row r="405">
      <c r="A405" s="45"/>
      <c r="C405" s="44"/>
    </row>
    <row r="406">
      <c r="A406" s="45"/>
      <c r="C406" s="44"/>
    </row>
    <row r="407">
      <c r="A407" s="45"/>
      <c r="C407" s="44"/>
    </row>
    <row r="408">
      <c r="A408" s="45"/>
      <c r="C408" s="44"/>
    </row>
    <row r="409">
      <c r="A409" s="45"/>
      <c r="C409" s="44"/>
    </row>
    <row r="410">
      <c r="A410" s="45"/>
      <c r="C410" s="44"/>
    </row>
    <row r="411">
      <c r="A411" s="45"/>
      <c r="C411" s="44"/>
    </row>
    <row r="412">
      <c r="A412" s="45"/>
      <c r="C412" s="44"/>
    </row>
    <row r="413">
      <c r="A413" s="45"/>
      <c r="C413" s="44"/>
    </row>
    <row r="414">
      <c r="A414" s="45"/>
      <c r="C414" s="44"/>
    </row>
    <row r="415">
      <c r="A415" s="45"/>
      <c r="C415" s="44"/>
    </row>
    <row r="416">
      <c r="A416" s="45"/>
      <c r="C416" s="44"/>
    </row>
    <row r="417">
      <c r="A417" s="45"/>
      <c r="C417" s="44"/>
    </row>
    <row r="418">
      <c r="A418" s="45"/>
      <c r="C418" s="44"/>
    </row>
    <row r="419">
      <c r="A419" s="45"/>
      <c r="C419" s="44"/>
    </row>
    <row r="420">
      <c r="A420" s="45"/>
      <c r="C420" s="44"/>
    </row>
    <row r="421">
      <c r="A421" s="45"/>
      <c r="C421" s="44"/>
    </row>
    <row r="422">
      <c r="A422" s="45"/>
      <c r="C422" s="44"/>
    </row>
    <row r="423">
      <c r="A423" s="45"/>
      <c r="C423" s="44"/>
    </row>
    <row r="424">
      <c r="A424" s="45"/>
      <c r="C424" s="44"/>
    </row>
    <row r="425">
      <c r="A425" s="45"/>
      <c r="C425" s="44"/>
    </row>
    <row r="426">
      <c r="A426" s="45"/>
      <c r="C426" s="44"/>
    </row>
    <row r="427">
      <c r="A427" s="45"/>
      <c r="C427" s="44"/>
    </row>
    <row r="428">
      <c r="A428" s="45"/>
      <c r="C428" s="44"/>
    </row>
    <row r="429">
      <c r="A429" s="45"/>
      <c r="C429" s="44"/>
    </row>
    <row r="430">
      <c r="A430" s="45"/>
      <c r="C430" s="44"/>
    </row>
    <row r="431">
      <c r="A431" s="45"/>
      <c r="C431" s="44"/>
    </row>
    <row r="432">
      <c r="A432" s="45"/>
      <c r="C432" s="44"/>
    </row>
    <row r="433">
      <c r="A433" s="45"/>
      <c r="C433" s="44"/>
    </row>
    <row r="434">
      <c r="A434" s="45"/>
      <c r="C434" s="44"/>
    </row>
    <row r="435">
      <c r="A435" s="45"/>
      <c r="C435" s="44"/>
    </row>
    <row r="436">
      <c r="A436" s="45"/>
      <c r="C436" s="44"/>
    </row>
    <row r="437">
      <c r="A437" s="45"/>
      <c r="C437" s="44"/>
    </row>
    <row r="438">
      <c r="A438" s="45"/>
      <c r="C438" s="44"/>
    </row>
    <row r="439">
      <c r="A439" s="45"/>
      <c r="C439" s="44"/>
    </row>
    <row r="440">
      <c r="A440" s="45"/>
      <c r="C440" s="44"/>
    </row>
    <row r="441">
      <c r="A441" s="45"/>
      <c r="C441" s="44"/>
    </row>
    <row r="442">
      <c r="A442" s="45"/>
      <c r="C442" s="44"/>
    </row>
    <row r="443">
      <c r="A443" s="45"/>
      <c r="C443" s="44"/>
    </row>
    <row r="444">
      <c r="A444" s="45"/>
      <c r="C444" s="44"/>
    </row>
    <row r="445">
      <c r="A445" s="45"/>
      <c r="C445" s="44"/>
    </row>
    <row r="446">
      <c r="A446" s="45"/>
      <c r="C446" s="44"/>
    </row>
    <row r="447">
      <c r="A447" s="45"/>
      <c r="C447" s="44"/>
    </row>
    <row r="448">
      <c r="A448" s="45"/>
      <c r="C448" s="44"/>
    </row>
    <row r="449">
      <c r="A449" s="45"/>
      <c r="C449" s="44"/>
    </row>
    <row r="450">
      <c r="A450" s="45"/>
      <c r="C450" s="44"/>
    </row>
    <row r="451">
      <c r="A451" s="45"/>
      <c r="C451" s="44"/>
    </row>
    <row r="452">
      <c r="A452" s="45"/>
      <c r="C452" s="44"/>
    </row>
    <row r="453">
      <c r="A453" s="45"/>
      <c r="C453" s="44"/>
    </row>
    <row r="454">
      <c r="A454" s="45"/>
      <c r="C454" s="44"/>
    </row>
    <row r="455">
      <c r="A455" s="45"/>
      <c r="C455" s="44"/>
    </row>
    <row r="456">
      <c r="A456" s="45"/>
      <c r="C456" s="44"/>
    </row>
    <row r="457">
      <c r="A457" s="45"/>
      <c r="C457" s="44"/>
    </row>
    <row r="458">
      <c r="A458" s="45"/>
      <c r="C458" s="44"/>
    </row>
    <row r="459">
      <c r="A459" s="45"/>
      <c r="C459" s="44"/>
    </row>
    <row r="460">
      <c r="A460" s="45"/>
      <c r="C460" s="44"/>
    </row>
    <row r="461">
      <c r="A461" s="45"/>
      <c r="C461" s="44"/>
    </row>
    <row r="462">
      <c r="A462" s="45"/>
      <c r="C462" s="44"/>
    </row>
    <row r="463">
      <c r="A463" s="45"/>
      <c r="C463" s="44"/>
    </row>
    <row r="464">
      <c r="A464" s="45"/>
      <c r="C464" s="44"/>
    </row>
    <row r="465">
      <c r="A465" s="45"/>
      <c r="C465" s="44"/>
    </row>
    <row r="466">
      <c r="A466" s="45"/>
      <c r="C466" s="44"/>
    </row>
    <row r="467">
      <c r="A467" s="45"/>
      <c r="C467" s="44"/>
    </row>
    <row r="468">
      <c r="A468" s="45"/>
      <c r="C468" s="44"/>
    </row>
    <row r="469">
      <c r="A469" s="45"/>
      <c r="C469" s="44"/>
    </row>
    <row r="470">
      <c r="A470" s="45"/>
      <c r="C470" s="44"/>
    </row>
    <row r="471">
      <c r="A471" s="45"/>
      <c r="C471" s="44"/>
    </row>
    <row r="472">
      <c r="A472" s="45"/>
      <c r="C472" s="44"/>
    </row>
    <row r="473">
      <c r="A473" s="45"/>
      <c r="C473" s="44"/>
    </row>
    <row r="474">
      <c r="A474" s="45"/>
      <c r="C474" s="44"/>
    </row>
    <row r="475">
      <c r="A475" s="45"/>
      <c r="C475" s="44"/>
    </row>
    <row r="476">
      <c r="A476" s="45"/>
      <c r="C476" s="44"/>
    </row>
    <row r="477">
      <c r="A477" s="45"/>
      <c r="C477" s="44"/>
    </row>
    <row r="478">
      <c r="A478" s="45"/>
      <c r="C478" s="44"/>
    </row>
    <row r="479">
      <c r="A479" s="45"/>
      <c r="C479" s="44"/>
    </row>
    <row r="480">
      <c r="A480" s="45"/>
      <c r="C480" s="44"/>
    </row>
    <row r="481">
      <c r="A481" s="45"/>
      <c r="C481" s="44"/>
    </row>
    <row r="482">
      <c r="A482" s="45"/>
      <c r="C482" s="44"/>
    </row>
    <row r="483">
      <c r="A483" s="45"/>
      <c r="C483" s="44"/>
    </row>
    <row r="484">
      <c r="A484" s="45"/>
      <c r="C484" s="44"/>
    </row>
    <row r="485">
      <c r="A485" s="45"/>
      <c r="C485" s="44"/>
    </row>
    <row r="486">
      <c r="A486" s="45"/>
      <c r="C486" s="44"/>
    </row>
    <row r="487">
      <c r="A487" s="45"/>
      <c r="C487" s="44"/>
    </row>
    <row r="488">
      <c r="A488" s="45"/>
      <c r="C488" s="44"/>
    </row>
    <row r="489">
      <c r="A489" s="45"/>
      <c r="C489" s="44"/>
    </row>
    <row r="490">
      <c r="A490" s="45"/>
      <c r="C490" s="44"/>
    </row>
    <row r="491">
      <c r="A491" s="45"/>
      <c r="C491" s="44"/>
    </row>
    <row r="492">
      <c r="A492" s="45"/>
      <c r="C492" s="44"/>
    </row>
    <row r="493">
      <c r="A493" s="45"/>
      <c r="C493" s="44"/>
    </row>
    <row r="494">
      <c r="A494" s="45"/>
      <c r="C494" s="44"/>
    </row>
    <row r="495">
      <c r="A495" s="45"/>
      <c r="C495" s="44"/>
    </row>
    <row r="496">
      <c r="A496" s="45"/>
      <c r="C496" s="44"/>
    </row>
    <row r="497">
      <c r="A497" s="45"/>
      <c r="C497" s="44"/>
    </row>
    <row r="498">
      <c r="A498" s="45"/>
      <c r="C498" s="44"/>
    </row>
    <row r="499">
      <c r="A499" s="45"/>
      <c r="C499" s="44"/>
    </row>
    <row r="500">
      <c r="A500" s="45"/>
      <c r="C500" s="44"/>
    </row>
    <row r="501">
      <c r="A501" s="45"/>
      <c r="C501" s="44"/>
    </row>
    <row r="502">
      <c r="A502" s="45"/>
      <c r="C502" s="44"/>
    </row>
    <row r="503">
      <c r="A503" s="45"/>
      <c r="C503" s="44"/>
    </row>
    <row r="504">
      <c r="A504" s="45"/>
      <c r="C504" s="44"/>
    </row>
    <row r="505">
      <c r="A505" s="45"/>
      <c r="C505" s="44"/>
    </row>
    <row r="506">
      <c r="A506" s="45"/>
      <c r="C506" s="44"/>
    </row>
    <row r="507">
      <c r="A507" s="45"/>
      <c r="C507" s="44"/>
    </row>
    <row r="508">
      <c r="A508" s="45"/>
      <c r="C508" s="44"/>
    </row>
    <row r="509">
      <c r="A509" s="45"/>
      <c r="C509" s="44"/>
    </row>
    <row r="510">
      <c r="A510" s="45"/>
      <c r="C510" s="44"/>
    </row>
    <row r="511">
      <c r="A511" s="45"/>
      <c r="C511" s="44"/>
    </row>
    <row r="512">
      <c r="A512" s="45"/>
      <c r="C512" s="44"/>
    </row>
    <row r="513">
      <c r="A513" s="45"/>
      <c r="C513" s="44"/>
    </row>
    <row r="514">
      <c r="A514" s="45"/>
      <c r="C514" s="44"/>
    </row>
    <row r="515">
      <c r="A515" s="45"/>
      <c r="C515" s="44"/>
    </row>
    <row r="516">
      <c r="A516" s="45"/>
      <c r="C516" s="44"/>
    </row>
    <row r="517">
      <c r="A517" s="45"/>
      <c r="C517" s="44"/>
    </row>
    <row r="518">
      <c r="A518" s="45"/>
      <c r="C518" s="44"/>
    </row>
    <row r="519">
      <c r="A519" s="45"/>
      <c r="C519" s="44"/>
    </row>
    <row r="520">
      <c r="A520" s="45"/>
      <c r="C520" s="44"/>
    </row>
    <row r="521">
      <c r="A521" s="45"/>
      <c r="C521" s="44"/>
    </row>
    <row r="522">
      <c r="A522" s="45"/>
      <c r="C522" s="44"/>
    </row>
    <row r="523">
      <c r="A523" s="45"/>
      <c r="C523" s="44"/>
    </row>
    <row r="524">
      <c r="A524" s="45"/>
      <c r="C524" s="44"/>
    </row>
    <row r="525">
      <c r="A525" s="45"/>
      <c r="C525" s="44"/>
    </row>
    <row r="526">
      <c r="A526" s="45"/>
      <c r="C526" s="44"/>
    </row>
    <row r="527">
      <c r="A527" s="45"/>
      <c r="C527" s="44"/>
    </row>
    <row r="528">
      <c r="A528" s="45"/>
      <c r="C528" s="44"/>
    </row>
    <row r="529">
      <c r="A529" s="45"/>
      <c r="C529" s="44"/>
    </row>
    <row r="530">
      <c r="A530" s="45"/>
      <c r="C530" s="44"/>
    </row>
    <row r="531">
      <c r="A531" s="45"/>
      <c r="C531" s="44"/>
    </row>
    <row r="532">
      <c r="A532" s="45"/>
      <c r="C532" s="44"/>
    </row>
    <row r="533">
      <c r="A533" s="45"/>
      <c r="C533" s="44"/>
    </row>
    <row r="534">
      <c r="A534" s="45"/>
      <c r="C534" s="44"/>
    </row>
    <row r="535">
      <c r="A535" s="45"/>
      <c r="C535" s="44"/>
    </row>
    <row r="536">
      <c r="A536" s="45"/>
      <c r="C536" s="44"/>
    </row>
    <row r="537">
      <c r="A537" s="45"/>
      <c r="C537" s="44"/>
    </row>
    <row r="538">
      <c r="A538" s="45"/>
      <c r="C538" s="44"/>
    </row>
    <row r="539">
      <c r="A539" s="45"/>
      <c r="C539" s="44"/>
    </row>
    <row r="540">
      <c r="A540" s="45"/>
      <c r="C540" s="44"/>
    </row>
    <row r="541">
      <c r="A541" s="45"/>
      <c r="C541" s="44"/>
    </row>
    <row r="542">
      <c r="A542" s="45"/>
      <c r="C542" s="44"/>
    </row>
    <row r="543">
      <c r="A543" s="45"/>
      <c r="C543" s="44"/>
    </row>
    <row r="544">
      <c r="A544" s="45"/>
      <c r="C544" s="44"/>
    </row>
    <row r="545">
      <c r="A545" s="45"/>
      <c r="C545" s="44"/>
    </row>
    <row r="546">
      <c r="A546" s="45"/>
      <c r="C546" s="44"/>
    </row>
    <row r="547">
      <c r="A547" s="45"/>
      <c r="C547" s="44"/>
    </row>
    <row r="548">
      <c r="A548" s="45"/>
      <c r="C548" s="44"/>
    </row>
    <row r="549">
      <c r="A549" s="45"/>
      <c r="C549" s="44"/>
    </row>
    <row r="550">
      <c r="A550" s="45"/>
      <c r="C550" s="44"/>
    </row>
    <row r="551">
      <c r="A551" s="45"/>
      <c r="C551" s="44"/>
    </row>
    <row r="552">
      <c r="A552" s="45"/>
      <c r="C552" s="44"/>
    </row>
    <row r="553">
      <c r="A553" s="45"/>
      <c r="C553" s="44"/>
    </row>
    <row r="554">
      <c r="A554" s="45"/>
      <c r="C554" s="44"/>
    </row>
    <row r="555">
      <c r="A555" s="45"/>
      <c r="C555" s="44"/>
    </row>
    <row r="556">
      <c r="A556" s="45"/>
      <c r="C556" s="44"/>
    </row>
    <row r="557">
      <c r="A557" s="45"/>
      <c r="C557" s="44"/>
    </row>
    <row r="558">
      <c r="A558" s="45"/>
      <c r="C558" s="44"/>
    </row>
    <row r="559">
      <c r="A559" s="45"/>
      <c r="C559" s="44"/>
    </row>
    <row r="560">
      <c r="A560" s="45"/>
      <c r="C560" s="44"/>
    </row>
    <row r="561">
      <c r="A561" s="45"/>
      <c r="C561" s="44"/>
    </row>
    <row r="562">
      <c r="A562" s="45"/>
      <c r="C562" s="44"/>
    </row>
    <row r="563">
      <c r="A563" s="45"/>
      <c r="C563" s="44"/>
    </row>
    <row r="564">
      <c r="A564" s="45"/>
      <c r="C564" s="44"/>
    </row>
    <row r="565">
      <c r="A565" s="45"/>
      <c r="C565" s="44"/>
    </row>
    <row r="566">
      <c r="A566" s="45"/>
      <c r="C566" s="44"/>
    </row>
    <row r="567">
      <c r="A567" s="45"/>
      <c r="C567" s="44"/>
    </row>
    <row r="568">
      <c r="A568" s="45"/>
      <c r="C568" s="44"/>
    </row>
    <row r="569">
      <c r="A569" s="45"/>
      <c r="C569" s="44"/>
    </row>
    <row r="570">
      <c r="A570" s="45"/>
      <c r="C570" s="44"/>
    </row>
    <row r="571">
      <c r="A571" s="45"/>
      <c r="C571" s="44"/>
    </row>
    <row r="572">
      <c r="A572" s="45"/>
      <c r="C572" s="44"/>
    </row>
    <row r="573">
      <c r="A573" s="45"/>
      <c r="C573" s="44"/>
    </row>
    <row r="574">
      <c r="A574" s="45"/>
      <c r="C574" s="44"/>
    </row>
    <row r="575">
      <c r="A575" s="45"/>
      <c r="C575" s="44"/>
    </row>
    <row r="576">
      <c r="A576" s="45"/>
      <c r="C576" s="44"/>
    </row>
    <row r="577">
      <c r="A577" s="45"/>
      <c r="C577" s="44"/>
    </row>
    <row r="578">
      <c r="A578" s="45"/>
      <c r="C578" s="44"/>
    </row>
    <row r="579">
      <c r="A579" s="45"/>
      <c r="C579" s="44"/>
    </row>
    <row r="580">
      <c r="A580" s="45"/>
      <c r="C580" s="44"/>
    </row>
    <row r="581">
      <c r="A581" s="45"/>
      <c r="C581" s="44"/>
    </row>
    <row r="582">
      <c r="A582" s="45"/>
      <c r="C582" s="44"/>
    </row>
    <row r="583">
      <c r="A583" s="45"/>
      <c r="C583" s="44"/>
    </row>
    <row r="584">
      <c r="A584" s="45"/>
      <c r="C584" s="44"/>
    </row>
    <row r="585">
      <c r="A585" s="45"/>
      <c r="C585" s="44"/>
    </row>
    <row r="586">
      <c r="A586" s="45"/>
      <c r="C586" s="44"/>
    </row>
    <row r="587">
      <c r="A587" s="45"/>
      <c r="C587" s="44"/>
    </row>
    <row r="588">
      <c r="A588" s="45"/>
      <c r="C588" s="44"/>
    </row>
    <row r="589">
      <c r="A589" s="45"/>
      <c r="C589" s="44"/>
    </row>
    <row r="590">
      <c r="A590" s="45"/>
      <c r="C590" s="44"/>
    </row>
    <row r="591">
      <c r="A591" s="45"/>
      <c r="C591" s="44"/>
    </row>
    <row r="592">
      <c r="A592" s="45"/>
      <c r="C592" s="44"/>
    </row>
    <row r="593">
      <c r="A593" s="45"/>
      <c r="C593" s="44"/>
    </row>
    <row r="594">
      <c r="A594" s="45"/>
      <c r="C594" s="44"/>
    </row>
    <row r="595">
      <c r="A595" s="45"/>
      <c r="C595" s="44"/>
    </row>
    <row r="596">
      <c r="A596" s="45"/>
      <c r="C596" s="44"/>
    </row>
    <row r="597">
      <c r="A597" s="45"/>
      <c r="C597" s="44"/>
    </row>
    <row r="598">
      <c r="A598" s="45"/>
      <c r="C598" s="44"/>
    </row>
    <row r="599">
      <c r="A599" s="45"/>
      <c r="C599" s="44"/>
    </row>
    <row r="600">
      <c r="A600" s="45"/>
      <c r="C600" s="44"/>
    </row>
    <row r="601">
      <c r="A601" s="45"/>
      <c r="C601" s="44"/>
    </row>
    <row r="602">
      <c r="A602" s="45"/>
      <c r="C602" s="44"/>
    </row>
    <row r="603">
      <c r="A603" s="45"/>
      <c r="C603" s="44"/>
    </row>
    <row r="604">
      <c r="A604" s="45"/>
      <c r="C604" s="44"/>
    </row>
    <row r="605">
      <c r="A605" s="45"/>
      <c r="C605" s="44"/>
    </row>
    <row r="606">
      <c r="A606" s="45"/>
      <c r="C606" s="44"/>
    </row>
    <row r="607">
      <c r="A607" s="45"/>
      <c r="C607" s="44"/>
    </row>
    <row r="608">
      <c r="A608" s="45"/>
      <c r="C608" s="44"/>
    </row>
    <row r="609">
      <c r="A609" s="45"/>
      <c r="C609" s="44"/>
    </row>
    <row r="610">
      <c r="A610" s="45"/>
      <c r="C610" s="44"/>
    </row>
    <row r="611">
      <c r="A611" s="45"/>
      <c r="C611" s="44"/>
    </row>
    <row r="612">
      <c r="A612" s="45"/>
      <c r="C612" s="44"/>
    </row>
    <row r="613">
      <c r="A613" s="45"/>
      <c r="C613" s="44"/>
    </row>
    <row r="614">
      <c r="A614" s="45"/>
      <c r="C614" s="44"/>
    </row>
    <row r="615">
      <c r="A615" s="45"/>
      <c r="C615" s="44"/>
    </row>
    <row r="616">
      <c r="A616" s="45"/>
      <c r="C616" s="44"/>
    </row>
    <row r="617">
      <c r="A617" s="45"/>
      <c r="C617" s="44"/>
    </row>
    <row r="618">
      <c r="A618" s="45"/>
      <c r="C618" s="44"/>
    </row>
    <row r="619">
      <c r="A619" s="45"/>
      <c r="C619" s="44"/>
    </row>
    <row r="620">
      <c r="A620" s="45"/>
      <c r="C620" s="44"/>
    </row>
    <row r="621">
      <c r="A621" s="45"/>
      <c r="C621" s="44"/>
    </row>
    <row r="622">
      <c r="A622" s="45"/>
      <c r="C622" s="44"/>
    </row>
    <row r="623">
      <c r="A623" s="45"/>
      <c r="C623" s="44"/>
    </row>
    <row r="624">
      <c r="A624" s="45"/>
      <c r="C624" s="44"/>
    </row>
    <row r="625">
      <c r="A625" s="45"/>
      <c r="C625" s="44"/>
    </row>
    <row r="626">
      <c r="A626" s="45"/>
      <c r="C626" s="44"/>
    </row>
    <row r="627">
      <c r="A627" s="45"/>
      <c r="C627" s="44"/>
    </row>
    <row r="628">
      <c r="A628" s="45"/>
      <c r="C628" s="44"/>
    </row>
    <row r="629">
      <c r="A629" s="45"/>
      <c r="C629" s="44"/>
    </row>
    <row r="630">
      <c r="A630" s="45"/>
      <c r="C630" s="44"/>
    </row>
    <row r="631">
      <c r="A631" s="45"/>
      <c r="C631" s="44"/>
    </row>
    <row r="632">
      <c r="A632" s="45"/>
      <c r="C632" s="44"/>
    </row>
    <row r="633">
      <c r="A633" s="45"/>
      <c r="C633" s="44"/>
    </row>
    <row r="634">
      <c r="A634" s="45"/>
      <c r="C634" s="44"/>
    </row>
    <row r="635">
      <c r="A635" s="45"/>
      <c r="C635" s="44"/>
    </row>
    <row r="636">
      <c r="A636" s="45"/>
      <c r="C636" s="44"/>
    </row>
    <row r="637">
      <c r="A637" s="45"/>
      <c r="C637" s="44"/>
    </row>
    <row r="638">
      <c r="A638" s="45"/>
      <c r="C638" s="44"/>
    </row>
    <row r="639">
      <c r="A639" s="45"/>
      <c r="C639" s="44"/>
    </row>
    <row r="640">
      <c r="A640" s="45"/>
      <c r="C640" s="44"/>
    </row>
    <row r="641">
      <c r="A641" s="45"/>
      <c r="C641" s="44"/>
    </row>
    <row r="642">
      <c r="A642" s="45"/>
      <c r="C642" s="44"/>
    </row>
    <row r="643">
      <c r="A643" s="45"/>
      <c r="C643" s="44"/>
    </row>
    <row r="644">
      <c r="A644" s="45"/>
      <c r="C644" s="44"/>
    </row>
    <row r="645">
      <c r="A645" s="45"/>
      <c r="C645" s="44"/>
    </row>
    <row r="646">
      <c r="A646" s="45"/>
      <c r="C646" s="44"/>
    </row>
    <row r="647">
      <c r="A647" s="45"/>
      <c r="C647" s="44"/>
    </row>
    <row r="648">
      <c r="A648" s="45"/>
      <c r="C648" s="44"/>
    </row>
    <row r="649">
      <c r="A649" s="45"/>
      <c r="C649" s="44"/>
    </row>
    <row r="650">
      <c r="A650" s="45"/>
      <c r="C650" s="44"/>
    </row>
    <row r="651">
      <c r="A651" s="45"/>
      <c r="C651" s="44"/>
    </row>
    <row r="652">
      <c r="A652" s="45"/>
      <c r="C652" s="44"/>
    </row>
    <row r="653">
      <c r="A653" s="45"/>
      <c r="C653" s="44"/>
    </row>
    <row r="654">
      <c r="A654" s="45"/>
      <c r="C654" s="44"/>
    </row>
    <row r="655">
      <c r="A655" s="45"/>
      <c r="C655" s="44"/>
    </row>
    <row r="656">
      <c r="A656" s="45"/>
      <c r="C656" s="44"/>
    </row>
    <row r="657">
      <c r="A657" s="45"/>
      <c r="C657" s="44"/>
    </row>
    <row r="658">
      <c r="A658" s="45"/>
      <c r="C658" s="44"/>
    </row>
    <row r="659">
      <c r="A659" s="45"/>
      <c r="C659" s="44"/>
    </row>
    <row r="660">
      <c r="A660" s="45"/>
      <c r="C660" s="44"/>
    </row>
    <row r="661">
      <c r="A661" s="45"/>
      <c r="C661" s="44"/>
    </row>
    <row r="662">
      <c r="A662" s="45"/>
      <c r="C662" s="44"/>
    </row>
    <row r="663">
      <c r="A663" s="45"/>
      <c r="C663" s="44"/>
    </row>
    <row r="664">
      <c r="A664" s="45"/>
      <c r="C664" s="44"/>
    </row>
    <row r="665">
      <c r="A665" s="45"/>
      <c r="C665" s="44"/>
    </row>
    <row r="666">
      <c r="A666" s="45"/>
      <c r="C666" s="44"/>
    </row>
    <row r="667">
      <c r="A667" s="45"/>
      <c r="C667" s="44"/>
    </row>
    <row r="668">
      <c r="A668" s="45"/>
      <c r="C668" s="44"/>
    </row>
    <row r="669">
      <c r="A669" s="45"/>
      <c r="C669" s="44"/>
    </row>
    <row r="670">
      <c r="A670" s="45"/>
      <c r="C670" s="44"/>
    </row>
    <row r="671">
      <c r="A671" s="45"/>
      <c r="C671" s="44"/>
    </row>
    <row r="672">
      <c r="A672" s="45"/>
      <c r="C672" s="44"/>
    </row>
    <row r="673">
      <c r="A673" s="45"/>
      <c r="C673" s="44"/>
    </row>
    <row r="674">
      <c r="A674" s="45"/>
      <c r="C674" s="44"/>
    </row>
    <row r="675">
      <c r="A675" s="45"/>
      <c r="C675" s="44"/>
    </row>
    <row r="676">
      <c r="A676" s="45"/>
      <c r="C676" s="44"/>
    </row>
    <row r="677">
      <c r="A677" s="45"/>
      <c r="C677" s="44"/>
    </row>
    <row r="678">
      <c r="A678" s="45"/>
      <c r="C678" s="44"/>
    </row>
    <row r="679">
      <c r="A679" s="45"/>
      <c r="C679" s="44"/>
    </row>
    <row r="680">
      <c r="A680" s="45"/>
      <c r="C680" s="44"/>
    </row>
    <row r="681">
      <c r="A681" s="45"/>
      <c r="C681" s="44"/>
    </row>
    <row r="682">
      <c r="A682" s="45"/>
      <c r="C682" s="44"/>
    </row>
    <row r="683">
      <c r="A683" s="45"/>
      <c r="C683" s="44"/>
    </row>
    <row r="684">
      <c r="A684" s="45"/>
      <c r="C684" s="44"/>
    </row>
    <row r="685">
      <c r="A685" s="45"/>
      <c r="C685" s="44"/>
    </row>
    <row r="686">
      <c r="A686" s="45"/>
      <c r="C686" s="44"/>
    </row>
    <row r="687">
      <c r="A687" s="45"/>
      <c r="C687" s="44"/>
    </row>
    <row r="688">
      <c r="A688" s="45"/>
      <c r="C688" s="44"/>
    </row>
    <row r="689">
      <c r="A689" s="45"/>
      <c r="C689" s="44"/>
    </row>
    <row r="690">
      <c r="A690" s="45"/>
      <c r="C690" s="44"/>
    </row>
    <row r="691">
      <c r="A691" s="45"/>
      <c r="C691" s="44"/>
    </row>
    <row r="692">
      <c r="A692" s="45"/>
      <c r="C692" s="44"/>
    </row>
    <row r="693">
      <c r="A693" s="45"/>
      <c r="C693" s="44"/>
    </row>
    <row r="694">
      <c r="A694" s="45"/>
      <c r="C694" s="44"/>
    </row>
    <row r="695">
      <c r="A695" s="45"/>
      <c r="C695" s="44"/>
    </row>
    <row r="696">
      <c r="A696" s="45"/>
      <c r="C696" s="44"/>
    </row>
    <row r="697">
      <c r="A697" s="45"/>
      <c r="C697" s="44"/>
    </row>
    <row r="698">
      <c r="A698" s="45"/>
      <c r="C698" s="44"/>
    </row>
    <row r="699">
      <c r="A699" s="45"/>
      <c r="C699" s="44"/>
    </row>
    <row r="700">
      <c r="A700" s="45"/>
      <c r="C700" s="44"/>
    </row>
    <row r="701">
      <c r="A701" s="45"/>
      <c r="C701" s="44"/>
    </row>
    <row r="702">
      <c r="A702" s="45"/>
      <c r="C702" s="44"/>
    </row>
    <row r="703">
      <c r="A703" s="45"/>
      <c r="C703" s="44"/>
    </row>
    <row r="704">
      <c r="A704" s="45"/>
      <c r="C704" s="44"/>
    </row>
    <row r="705">
      <c r="A705" s="45"/>
      <c r="C705" s="44"/>
    </row>
    <row r="706">
      <c r="A706" s="45"/>
      <c r="C706" s="44"/>
    </row>
    <row r="707">
      <c r="A707" s="45"/>
      <c r="C707" s="44"/>
    </row>
    <row r="708">
      <c r="A708" s="45"/>
      <c r="C708" s="44"/>
    </row>
    <row r="709">
      <c r="A709" s="45"/>
      <c r="C709" s="44"/>
    </row>
    <row r="710">
      <c r="A710" s="45"/>
      <c r="C710" s="44"/>
    </row>
    <row r="711">
      <c r="A711" s="45"/>
      <c r="C711" s="44"/>
    </row>
    <row r="712">
      <c r="A712" s="45"/>
      <c r="C712" s="44"/>
    </row>
    <row r="713">
      <c r="A713" s="45"/>
      <c r="C713" s="44"/>
    </row>
    <row r="714">
      <c r="A714" s="45"/>
      <c r="C714" s="44"/>
    </row>
    <row r="715">
      <c r="A715" s="45"/>
      <c r="C715" s="44"/>
    </row>
    <row r="716">
      <c r="A716" s="45"/>
      <c r="C716" s="44"/>
    </row>
    <row r="717">
      <c r="A717" s="45"/>
      <c r="C717" s="44"/>
    </row>
    <row r="718">
      <c r="A718" s="45"/>
      <c r="C718" s="44"/>
    </row>
    <row r="719">
      <c r="A719" s="45"/>
      <c r="C719" s="44"/>
    </row>
    <row r="720">
      <c r="A720" s="45"/>
      <c r="C720" s="44"/>
    </row>
    <row r="721">
      <c r="A721" s="45"/>
      <c r="C721" s="44"/>
    </row>
    <row r="722">
      <c r="A722" s="45"/>
      <c r="C722" s="44"/>
    </row>
    <row r="723">
      <c r="A723" s="45"/>
      <c r="C723" s="44"/>
    </row>
    <row r="724">
      <c r="A724" s="45"/>
      <c r="C724" s="44"/>
    </row>
    <row r="725">
      <c r="A725" s="45"/>
      <c r="C725" s="44"/>
    </row>
    <row r="726">
      <c r="A726" s="45"/>
      <c r="C726" s="44"/>
    </row>
    <row r="727">
      <c r="A727" s="45"/>
      <c r="C727" s="44"/>
    </row>
    <row r="728">
      <c r="A728" s="45"/>
      <c r="C728" s="44"/>
    </row>
    <row r="729">
      <c r="A729" s="45"/>
      <c r="C729" s="44"/>
    </row>
    <row r="730">
      <c r="A730" s="45"/>
      <c r="C730" s="44"/>
    </row>
    <row r="731">
      <c r="A731" s="45"/>
      <c r="C731" s="44"/>
    </row>
    <row r="732">
      <c r="A732" s="45"/>
      <c r="C732" s="44"/>
    </row>
    <row r="733">
      <c r="A733" s="45"/>
      <c r="C733" s="44"/>
    </row>
    <row r="734">
      <c r="A734" s="45"/>
      <c r="C734" s="44"/>
    </row>
    <row r="735">
      <c r="A735" s="45"/>
      <c r="C735" s="44"/>
    </row>
    <row r="736">
      <c r="A736" s="45"/>
      <c r="C736" s="44"/>
    </row>
    <row r="737">
      <c r="A737" s="45"/>
      <c r="C737" s="44"/>
    </row>
    <row r="738">
      <c r="A738" s="45"/>
      <c r="C738" s="44"/>
    </row>
    <row r="739">
      <c r="A739" s="45"/>
      <c r="C739" s="44"/>
    </row>
    <row r="740">
      <c r="A740" s="45"/>
      <c r="C740" s="44"/>
    </row>
    <row r="741">
      <c r="A741" s="45"/>
      <c r="C741" s="44"/>
    </row>
    <row r="742">
      <c r="A742" s="45"/>
      <c r="C742" s="44"/>
    </row>
    <row r="743">
      <c r="A743" s="45"/>
      <c r="C743" s="44"/>
    </row>
    <row r="744">
      <c r="A744" s="45"/>
      <c r="C744" s="44"/>
    </row>
    <row r="745">
      <c r="A745" s="45"/>
      <c r="C745" s="44"/>
    </row>
    <row r="746">
      <c r="A746" s="45"/>
      <c r="C746" s="44"/>
    </row>
    <row r="747">
      <c r="A747" s="45"/>
      <c r="C747" s="44"/>
    </row>
    <row r="748">
      <c r="A748" s="45"/>
      <c r="C748" s="44"/>
    </row>
    <row r="749">
      <c r="A749" s="45"/>
      <c r="C749" s="44"/>
    </row>
    <row r="750">
      <c r="A750" s="45"/>
      <c r="C750" s="44"/>
    </row>
    <row r="751">
      <c r="A751" s="45"/>
      <c r="C751" s="44"/>
    </row>
    <row r="752">
      <c r="A752" s="45"/>
      <c r="C752" s="44"/>
    </row>
    <row r="753">
      <c r="A753" s="45"/>
      <c r="C753" s="44"/>
    </row>
    <row r="754">
      <c r="A754" s="45"/>
      <c r="C754" s="44"/>
    </row>
    <row r="755">
      <c r="A755" s="45"/>
      <c r="C755" s="44"/>
    </row>
    <row r="756">
      <c r="A756" s="45"/>
      <c r="C756" s="44"/>
    </row>
    <row r="757">
      <c r="A757" s="45"/>
      <c r="C757" s="44"/>
    </row>
    <row r="758">
      <c r="A758" s="45"/>
      <c r="C758" s="44"/>
    </row>
    <row r="759">
      <c r="A759" s="45"/>
      <c r="C759" s="44"/>
    </row>
    <row r="760">
      <c r="A760" s="45"/>
      <c r="C760" s="44"/>
    </row>
    <row r="761">
      <c r="A761" s="45"/>
      <c r="C761" s="44"/>
    </row>
    <row r="762">
      <c r="A762" s="45"/>
      <c r="C762" s="44"/>
    </row>
    <row r="763">
      <c r="A763" s="45"/>
      <c r="C763" s="44"/>
    </row>
    <row r="764">
      <c r="A764" s="45"/>
      <c r="C764" s="44"/>
    </row>
    <row r="765">
      <c r="A765" s="45"/>
      <c r="C765" s="44"/>
    </row>
    <row r="766">
      <c r="A766" s="45"/>
      <c r="C766" s="44"/>
    </row>
    <row r="767">
      <c r="A767" s="45"/>
      <c r="C767" s="44"/>
    </row>
    <row r="768">
      <c r="A768" s="45"/>
      <c r="C768" s="44"/>
    </row>
    <row r="769">
      <c r="A769" s="45"/>
      <c r="C769" s="44"/>
    </row>
    <row r="770">
      <c r="A770" s="45"/>
      <c r="C770" s="44"/>
    </row>
    <row r="771">
      <c r="A771" s="45"/>
      <c r="C771" s="44"/>
    </row>
    <row r="772">
      <c r="A772" s="45"/>
      <c r="C772" s="44"/>
    </row>
    <row r="773">
      <c r="A773" s="45"/>
      <c r="C773" s="44"/>
    </row>
    <row r="774">
      <c r="A774" s="45"/>
      <c r="C774" s="44"/>
    </row>
    <row r="775">
      <c r="A775" s="45"/>
      <c r="C775" s="44"/>
    </row>
    <row r="776">
      <c r="A776" s="45"/>
      <c r="C776" s="44"/>
    </row>
    <row r="777">
      <c r="A777" s="45"/>
      <c r="C777" s="44"/>
    </row>
    <row r="778">
      <c r="A778" s="45"/>
      <c r="C778" s="44"/>
    </row>
    <row r="779">
      <c r="A779" s="45"/>
      <c r="C779" s="44"/>
    </row>
    <row r="780">
      <c r="A780" s="45"/>
      <c r="C780" s="44"/>
    </row>
    <row r="781">
      <c r="A781" s="45"/>
      <c r="C781" s="44"/>
    </row>
    <row r="782">
      <c r="A782" s="45"/>
      <c r="C782" s="44"/>
    </row>
    <row r="783">
      <c r="A783" s="45"/>
      <c r="C783" s="44"/>
    </row>
    <row r="784">
      <c r="A784" s="45"/>
      <c r="C784" s="44"/>
    </row>
    <row r="785">
      <c r="A785" s="45"/>
      <c r="C785" s="44"/>
    </row>
    <row r="786">
      <c r="A786" s="45"/>
      <c r="C786" s="44"/>
    </row>
    <row r="787">
      <c r="A787" s="45"/>
      <c r="C787" s="44"/>
    </row>
    <row r="788">
      <c r="A788" s="45"/>
      <c r="C788" s="44"/>
    </row>
    <row r="789">
      <c r="A789" s="45"/>
      <c r="C789" s="44"/>
    </row>
    <row r="790">
      <c r="A790" s="45"/>
      <c r="C790" s="44"/>
    </row>
    <row r="791">
      <c r="A791" s="45"/>
      <c r="C791" s="44"/>
    </row>
    <row r="792">
      <c r="A792" s="45"/>
      <c r="C792" s="44"/>
    </row>
    <row r="793">
      <c r="A793" s="45"/>
      <c r="C793" s="44"/>
    </row>
    <row r="794">
      <c r="A794" s="45"/>
      <c r="C794" s="44"/>
    </row>
    <row r="795">
      <c r="A795" s="45"/>
      <c r="C795" s="44"/>
    </row>
    <row r="796">
      <c r="A796" s="45"/>
      <c r="C796" s="44"/>
    </row>
    <row r="797">
      <c r="A797" s="45"/>
      <c r="C797" s="44"/>
    </row>
    <row r="798">
      <c r="A798" s="45"/>
      <c r="C798" s="44"/>
    </row>
    <row r="799">
      <c r="A799" s="45"/>
      <c r="C799" s="44"/>
    </row>
    <row r="800">
      <c r="A800" s="45"/>
      <c r="C800" s="44"/>
    </row>
    <row r="801">
      <c r="A801" s="45"/>
      <c r="C801" s="44"/>
    </row>
    <row r="802">
      <c r="A802" s="45"/>
      <c r="C802" s="44"/>
    </row>
    <row r="803">
      <c r="A803" s="45"/>
      <c r="C803" s="44"/>
    </row>
    <row r="804">
      <c r="A804" s="45"/>
      <c r="C804" s="44"/>
    </row>
    <row r="805">
      <c r="A805" s="45"/>
      <c r="C805" s="44"/>
    </row>
    <row r="806">
      <c r="A806" s="45"/>
      <c r="C806" s="44"/>
    </row>
    <row r="807">
      <c r="A807" s="45"/>
      <c r="C807" s="44"/>
    </row>
    <row r="808">
      <c r="A808" s="45"/>
      <c r="C808" s="44"/>
    </row>
    <row r="809">
      <c r="A809" s="45"/>
      <c r="C809" s="44"/>
    </row>
    <row r="810">
      <c r="A810" s="45"/>
      <c r="C810" s="44"/>
    </row>
    <row r="811">
      <c r="A811" s="45"/>
      <c r="C811" s="44"/>
    </row>
    <row r="812">
      <c r="A812" s="45"/>
      <c r="C812" s="44"/>
    </row>
    <row r="813">
      <c r="A813" s="45"/>
      <c r="C813" s="44"/>
    </row>
    <row r="814">
      <c r="A814" s="45"/>
      <c r="C814" s="44"/>
    </row>
    <row r="815">
      <c r="A815" s="45"/>
      <c r="C815" s="44"/>
    </row>
    <row r="816">
      <c r="A816" s="45"/>
      <c r="C816" s="44"/>
    </row>
    <row r="817">
      <c r="A817" s="45"/>
      <c r="C817" s="44"/>
    </row>
    <row r="818">
      <c r="A818" s="45"/>
      <c r="C818" s="44"/>
    </row>
    <row r="819">
      <c r="A819" s="45"/>
      <c r="C819" s="44"/>
    </row>
    <row r="820">
      <c r="A820" s="45"/>
      <c r="C820" s="44"/>
    </row>
    <row r="821">
      <c r="A821" s="45"/>
      <c r="C821" s="44"/>
    </row>
    <row r="822">
      <c r="A822" s="45"/>
      <c r="C822" s="44"/>
    </row>
    <row r="823">
      <c r="A823" s="45"/>
      <c r="C823" s="44"/>
    </row>
    <row r="824">
      <c r="A824" s="45"/>
      <c r="C824" s="44"/>
    </row>
    <row r="825">
      <c r="A825" s="45"/>
      <c r="C825" s="44"/>
    </row>
    <row r="826">
      <c r="A826" s="45"/>
      <c r="C826" s="44"/>
    </row>
    <row r="827">
      <c r="A827" s="45"/>
      <c r="C827" s="44"/>
    </row>
    <row r="828">
      <c r="A828" s="45"/>
      <c r="C828" s="44"/>
    </row>
    <row r="829">
      <c r="A829" s="45"/>
      <c r="C829" s="44"/>
    </row>
    <row r="830">
      <c r="A830" s="45"/>
      <c r="C830" s="44"/>
    </row>
    <row r="831">
      <c r="A831" s="45"/>
      <c r="C831" s="44"/>
    </row>
    <row r="832">
      <c r="A832" s="45"/>
      <c r="C832" s="44"/>
    </row>
    <row r="833">
      <c r="A833" s="45"/>
      <c r="C833" s="44"/>
    </row>
    <row r="834">
      <c r="A834" s="45"/>
      <c r="C834" s="44"/>
    </row>
    <row r="835">
      <c r="A835" s="45"/>
      <c r="C835" s="44"/>
    </row>
    <row r="836">
      <c r="A836" s="45"/>
      <c r="C836" s="44"/>
    </row>
    <row r="837">
      <c r="A837" s="45"/>
      <c r="C837" s="44"/>
    </row>
    <row r="838">
      <c r="A838" s="45"/>
      <c r="C838" s="44"/>
    </row>
    <row r="839">
      <c r="A839" s="45"/>
      <c r="C839" s="44"/>
    </row>
    <row r="840">
      <c r="A840" s="45"/>
      <c r="C840" s="44"/>
    </row>
    <row r="841">
      <c r="A841" s="45"/>
      <c r="C841" s="44"/>
    </row>
    <row r="842">
      <c r="A842" s="45"/>
      <c r="C842" s="44"/>
    </row>
    <row r="843">
      <c r="A843" s="45"/>
      <c r="C843" s="44"/>
    </row>
    <row r="844">
      <c r="A844" s="45"/>
      <c r="C844" s="44"/>
    </row>
    <row r="845">
      <c r="A845" s="45"/>
      <c r="C845" s="44"/>
    </row>
    <row r="846">
      <c r="A846" s="45"/>
      <c r="C846" s="44"/>
    </row>
    <row r="847">
      <c r="A847" s="45"/>
      <c r="C847" s="44"/>
    </row>
    <row r="848">
      <c r="A848" s="45"/>
      <c r="C848" s="44"/>
    </row>
    <row r="849">
      <c r="A849" s="45"/>
      <c r="C849" s="44"/>
    </row>
    <row r="850">
      <c r="A850" s="45"/>
      <c r="C850" s="44"/>
    </row>
    <row r="851">
      <c r="A851" s="45"/>
      <c r="C851" s="44"/>
    </row>
    <row r="852">
      <c r="A852" s="45"/>
      <c r="C852" s="44"/>
    </row>
    <row r="853">
      <c r="A853" s="45"/>
      <c r="C853" s="44"/>
    </row>
    <row r="854">
      <c r="A854" s="45"/>
      <c r="C854" s="44"/>
    </row>
    <row r="855">
      <c r="A855" s="45"/>
      <c r="C855" s="44"/>
    </row>
    <row r="856">
      <c r="A856" s="45"/>
      <c r="C856" s="44"/>
    </row>
    <row r="857">
      <c r="A857" s="45"/>
      <c r="C857" s="44"/>
    </row>
    <row r="858">
      <c r="A858" s="45"/>
      <c r="C858" s="44"/>
    </row>
    <row r="859">
      <c r="A859" s="45"/>
      <c r="C859" s="44"/>
    </row>
    <row r="860">
      <c r="A860" s="45"/>
      <c r="C860" s="44"/>
    </row>
    <row r="861">
      <c r="A861" s="45"/>
      <c r="C861" s="44"/>
    </row>
    <row r="862">
      <c r="A862" s="45"/>
      <c r="C862" s="44"/>
    </row>
    <row r="863">
      <c r="A863" s="45"/>
      <c r="C863" s="44"/>
    </row>
    <row r="864">
      <c r="A864" s="45"/>
      <c r="C864" s="44"/>
    </row>
    <row r="865">
      <c r="A865" s="45"/>
      <c r="C865" s="44"/>
    </row>
    <row r="866">
      <c r="A866" s="45"/>
      <c r="C866" s="44"/>
    </row>
    <row r="867">
      <c r="A867" s="45"/>
      <c r="C867" s="44"/>
    </row>
    <row r="868">
      <c r="A868" s="45"/>
      <c r="C868" s="44"/>
    </row>
    <row r="869">
      <c r="A869" s="45"/>
      <c r="C869" s="44"/>
    </row>
    <row r="870">
      <c r="A870" s="45"/>
      <c r="C870" s="44"/>
    </row>
    <row r="871">
      <c r="A871" s="45"/>
      <c r="C871" s="44"/>
    </row>
    <row r="872">
      <c r="A872" s="45"/>
      <c r="C872" s="44"/>
    </row>
    <row r="873">
      <c r="A873" s="45"/>
      <c r="C873" s="44"/>
    </row>
    <row r="874">
      <c r="A874" s="45"/>
      <c r="C874" s="44"/>
    </row>
    <row r="875">
      <c r="A875" s="45"/>
      <c r="C875" s="44"/>
    </row>
    <row r="876">
      <c r="A876" s="45"/>
      <c r="C876" s="44"/>
    </row>
    <row r="877">
      <c r="A877" s="45"/>
      <c r="C877" s="44"/>
    </row>
    <row r="878">
      <c r="A878" s="45"/>
      <c r="C878" s="44"/>
    </row>
    <row r="879">
      <c r="A879" s="45"/>
      <c r="C879" s="44"/>
    </row>
    <row r="880">
      <c r="A880" s="45"/>
      <c r="C880" s="44"/>
    </row>
    <row r="881">
      <c r="A881" s="45"/>
      <c r="C881" s="44"/>
    </row>
    <row r="882">
      <c r="A882" s="45"/>
      <c r="C882" s="44"/>
    </row>
    <row r="883">
      <c r="A883" s="45"/>
      <c r="C883" s="44"/>
    </row>
    <row r="884">
      <c r="A884" s="45"/>
      <c r="C884" s="44"/>
    </row>
    <row r="885">
      <c r="A885" s="45"/>
      <c r="C885" s="44"/>
    </row>
    <row r="886">
      <c r="A886" s="45"/>
      <c r="C886" s="44"/>
    </row>
    <row r="887">
      <c r="A887" s="45"/>
      <c r="C887" s="44"/>
    </row>
    <row r="888">
      <c r="A888" s="45"/>
      <c r="C888" s="44"/>
    </row>
    <row r="889">
      <c r="A889" s="45"/>
      <c r="C889" s="44"/>
    </row>
    <row r="890">
      <c r="A890" s="45"/>
      <c r="C890" s="44"/>
    </row>
    <row r="891">
      <c r="A891" s="45"/>
      <c r="C891" s="44"/>
    </row>
    <row r="892">
      <c r="A892" s="45"/>
      <c r="C892" s="44"/>
    </row>
    <row r="893">
      <c r="A893" s="45"/>
      <c r="C893" s="44"/>
    </row>
    <row r="894">
      <c r="A894" s="45"/>
      <c r="C894" s="44"/>
    </row>
    <row r="895">
      <c r="A895" s="45"/>
      <c r="C895" s="44"/>
    </row>
    <row r="896">
      <c r="A896" s="45"/>
      <c r="C896" s="44"/>
    </row>
    <row r="897">
      <c r="A897" s="45"/>
      <c r="C897" s="44"/>
    </row>
    <row r="898">
      <c r="A898" s="45"/>
      <c r="C898" s="44"/>
    </row>
    <row r="899">
      <c r="A899" s="45"/>
      <c r="C899" s="44"/>
    </row>
    <row r="900">
      <c r="A900" s="45"/>
      <c r="C900" s="44"/>
    </row>
    <row r="901">
      <c r="A901" s="45"/>
      <c r="C901" s="44"/>
    </row>
    <row r="902">
      <c r="A902" s="45"/>
      <c r="C902" s="44"/>
    </row>
    <row r="903">
      <c r="A903" s="45"/>
      <c r="C903" s="44"/>
    </row>
    <row r="904">
      <c r="A904" s="45"/>
      <c r="C904" s="44"/>
    </row>
    <row r="905">
      <c r="A905" s="45"/>
      <c r="C905" s="44"/>
    </row>
    <row r="906">
      <c r="A906" s="45"/>
      <c r="C906" s="44"/>
    </row>
    <row r="907">
      <c r="A907" s="45"/>
      <c r="C907" s="44"/>
    </row>
    <row r="908">
      <c r="A908" s="45"/>
      <c r="C908" s="44"/>
    </row>
    <row r="909">
      <c r="A909" s="45"/>
      <c r="C909" s="44"/>
    </row>
    <row r="910">
      <c r="A910" s="45"/>
      <c r="C910" s="44"/>
    </row>
    <row r="911">
      <c r="A911" s="45"/>
      <c r="C911" s="44"/>
    </row>
    <row r="912">
      <c r="A912" s="45"/>
      <c r="C912" s="44"/>
    </row>
    <row r="913">
      <c r="A913" s="45"/>
      <c r="C913" s="44"/>
    </row>
    <row r="914">
      <c r="A914" s="45"/>
      <c r="C914" s="44"/>
    </row>
    <row r="915">
      <c r="A915" s="45"/>
      <c r="C915" s="44"/>
    </row>
    <row r="916">
      <c r="A916" s="45"/>
      <c r="C916" s="44"/>
    </row>
    <row r="917">
      <c r="A917" s="45"/>
      <c r="C917" s="44"/>
    </row>
    <row r="918">
      <c r="A918" s="45"/>
      <c r="C918" s="44"/>
    </row>
    <row r="919">
      <c r="A919" s="45"/>
      <c r="C919" s="44"/>
    </row>
    <row r="920">
      <c r="A920" s="45"/>
      <c r="C920" s="44"/>
    </row>
    <row r="921">
      <c r="A921" s="45"/>
      <c r="C921" s="44"/>
    </row>
    <row r="922">
      <c r="A922" s="45"/>
      <c r="C922" s="44"/>
    </row>
    <row r="923">
      <c r="A923" s="45"/>
      <c r="C923" s="44"/>
    </row>
    <row r="924">
      <c r="A924" s="45"/>
      <c r="C924" s="44"/>
    </row>
    <row r="925">
      <c r="A925" s="45"/>
      <c r="C925" s="44"/>
    </row>
    <row r="926">
      <c r="A926" s="45"/>
      <c r="C926" s="44"/>
    </row>
    <row r="927">
      <c r="A927" s="45"/>
      <c r="C927" s="44"/>
    </row>
    <row r="928">
      <c r="A928" s="45"/>
      <c r="C928" s="44"/>
    </row>
    <row r="929">
      <c r="A929" s="45"/>
      <c r="C929" s="44"/>
    </row>
    <row r="930">
      <c r="A930" s="45"/>
      <c r="C930" s="44"/>
    </row>
    <row r="931">
      <c r="A931" s="45"/>
      <c r="C931" s="44"/>
    </row>
    <row r="932">
      <c r="A932" s="45"/>
      <c r="C932" s="44"/>
    </row>
    <row r="933">
      <c r="A933" s="45"/>
      <c r="C933" s="44"/>
    </row>
    <row r="934">
      <c r="A934" s="45"/>
      <c r="C934" s="44"/>
    </row>
    <row r="935">
      <c r="A935" s="45"/>
      <c r="C935" s="44"/>
    </row>
    <row r="936">
      <c r="A936" s="45"/>
      <c r="C936" s="44"/>
    </row>
    <row r="937">
      <c r="A937" s="45"/>
      <c r="C937" s="44"/>
    </row>
    <row r="938">
      <c r="A938" s="45"/>
      <c r="C938" s="44"/>
    </row>
    <row r="939">
      <c r="A939" s="45"/>
      <c r="C939" s="44"/>
    </row>
    <row r="940">
      <c r="A940" s="45"/>
      <c r="C940" s="44"/>
    </row>
    <row r="941">
      <c r="A941" s="45"/>
      <c r="C941" s="44"/>
    </row>
    <row r="942">
      <c r="A942" s="45"/>
      <c r="C942" s="44"/>
    </row>
    <row r="943">
      <c r="A943" s="45"/>
      <c r="C943" s="44"/>
    </row>
    <row r="944">
      <c r="A944" s="45"/>
      <c r="C944" s="44"/>
    </row>
    <row r="945">
      <c r="A945" s="45"/>
      <c r="C945" s="44"/>
    </row>
    <row r="946">
      <c r="A946" s="45"/>
      <c r="C946" s="44"/>
    </row>
    <row r="947">
      <c r="A947" s="45"/>
      <c r="C947" s="44"/>
    </row>
    <row r="948">
      <c r="A948" s="45"/>
      <c r="C948" s="44"/>
    </row>
    <row r="949">
      <c r="A949" s="45"/>
      <c r="C949" s="44"/>
    </row>
    <row r="950">
      <c r="A950" s="45"/>
      <c r="C950" s="44"/>
    </row>
    <row r="951">
      <c r="A951" s="45"/>
      <c r="C951" s="44"/>
    </row>
    <row r="952">
      <c r="A952" s="45"/>
      <c r="C952" s="44"/>
    </row>
    <row r="953">
      <c r="A953" s="45"/>
      <c r="C953" s="44"/>
    </row>
    <row r="954">
      <c r="A954" s="45"/>
      <c r="C954" s="44"/>
    </row>
    <row r="955">
      <c r="A955" s="45"/>
      <c r="C955" s="44"/>
    </row>
    <row r="956">
      <c r="A956" s="45"/>
      <c r="C956" s="44"/>
    </row>
    <row r="957">
      <c r="A957" s="45"/>
      <c r="C957" s="44"/>
    </row>
    <row r="958">
      <c r="A958" s="45"/>
      <c r="C958" s="44"/>
    </row>
    <row r="959">
      <c r="A959" s="45"/>
      <c r="C959" s="44"/>
    </row>
    <row r="960">
      <c r="A960" s="45"/>
      <c r="C960" s="44"/>
    </row>
    <row r="961">
      <c r="A961" s="45"/>
      <c r="C961" s="44"/>
    </row>
    <row r="962">
      <c r="A962" s="45"/>
      <c r="C962" s="44"/>
    </row>
    <row r="963">
      <c r="A963" s="45"/>
      <c r="C963" s="44"/>
    </row>
    <row r="964">
      <c r="A964" s="45"/>
      <c r="C964" s="44"/>
    </row>
    <row r="965">
      <c r="A965" s="45"/>
      <c r="C965" s="44"/>
    </row>
    <row r="966">
      <c r="A966" s="45"/>
      <c r="C966" s="44"/>
    </row>
    <row r="967">
      <c r="A967" s="45"/>
      <c r="C967" s="44"/>
    </row>
    <row r="968">
      <c r="A968" s="45"/>
      <c r="C968" s="44"/>
    </row>
    <row r="969">
      <c r="A969" s="45"/>
      <c r="C969" s="44"/>
    </row>
    <row r="970">
      <c r="A970" s="45"/>
      <c r="C970" s="44"/>
    </row>
    <row r="971">
      <c r="A971" s="45"/>
      <c r="C971" s="44"/>
    </row>
    <row r="972">
      <c r="A972" s="45"/>
      <c r="C972" s="44"/>
    </row>
    <row r="973">
      <c r="A973" s="45"/>
      <c r="C973" s="44"/>
    </row>
    <row r="974">
      <c r="A974" s="45"/>
      <c r="C974" s="44"/>
    </row>
    <row r="975">
      <c r="A975" s="45"/>
      <c r="C975" s="44"/>
    </row>
    <row r="976">
      <c r="A976" s="45"/>
      <c r="C976" s="44"/>
    </row>
    <row r="977">
      <c r="A977" s="45"/>
      <c r="C977" s="44"/>
    </row>
    <row r="978">
      <c r="A978" s="45"/>
      <c r="C978" s="44"/>
    </row>
    <row r="979">
      <c r="A979" s="45"/>
      <c r="C979" s="44"/>
    </row>
    <row r="980">
      <c r="A980" s="45"/>
      <c r="C980" s="44"/>
    </row>
    <row r="981">
      <c r="A981" s="45"/>
      <c r="C981" s="44"/>
    </row>
    <row r="982">
      <c r="A982" s="45"/>
      <c r="C982" s="44"/>
    </row>
    <row r="983">
      <c r="A983" s="45"/>
      <c r="C983" s="44"/>
    </row>
    <row r="984">
      <c r="A984" s="45"/>
      <c r="C984" s="44"/>
    </row>
    <row r="985">
      <c r="A985" s="45"/>
      <c r="C985" s="44"/>
    </row>
    <row r="986">
      <c r="A986" s="45"/>
      <c r="C986" s="44"/>
    </row>
    <row r="987">
      <c r="A987" s="45"/>
      <c r="C987" s="44"/>
    </row>
    <row r="988">
      <c r="A988" s="45"/>
      <c r="C988" s="44"/>
    </row>
    <row r="989">
      <c r="A989" s="45"/>
      <c r="C989" s="44"/>
    </row>
    <row r="990">
      <c r="A990" s="45"/>
      <c r="C990" s="44"/>
    </row>
    <row r="991">
      <c r="A991" s="45"/>
      <c r="C991" s="44"/>
    </row>
    <row r="992">
      <c r="A992" s="45"/>
      <c r="C992" s="44"/>
    </row>
    <row r="993">
      <c r="A993" s="45"/>
      <c r="C993" s="44"/>
    </row>
    <row r="994">
      <c r="A994" s="45"/>
      <c r="C994" s="44"/>
    </row>
    <row r="995">
      <c r="A995" s="45"/>
      <c r="C995" s="44"/>
    </row>
    <row r="996">
      <c r="A996" s="45"/>
      <c r="C996" s="44"/>
    </row>
    <row r="997">
      <c r="A997" s="45"/>
      <c r="C997" s="44"/>
    </row>
    <row r="998">
      <c r="A998" s="45"/>
      <c r="C998" s="44"/>
    </row>
    <row r="999">
      <c r="A999" s="45"/>
      <c r="C999" s="44"/>
    </row>
    <row r="1000">
      <c r="A1000" s="45"/>
      <c r="C1000" s="44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6" t="s">
        <v>32</v>
      </c>
      <c r="B1" s="16"/>
      <c r="C1" s="17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>
      <c r="A2" s="47"/>
      <c r="B2" s="48"/>
      <c r="C2" s="49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26"/>
      <c r="B3" s="27" t="str">
        <f>Combine!B1</f>
        <v>Toyota Motor Corporation (TM)</v>
      </c>
      <c r="C3" s="28" t="str">
        <f>Combine!C1</f>
        <v>Volkswagen AG (VOW3.DE)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29" t="s">
        <v>32</v>
      </c>
      <c r="B4" s="50">
        <f>(Combine!I14-B7)/Combine!I19</f>
        <v>0.07633720525</v>
      </c>
      <c r="C4" s="51">
        <f>(Combine!J14-B7)/Combine!J19</f>
        <v>-0.03141740938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29"/>
      <c r="B5" s="14"/>
      <c r="C5" s="31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29" t="s">
        <v>33</v>
      </c>
      <c r="B6" s="52">
        <v>0.0396</v>
      </c>
      <c r="C6" s="31"/>
      <c r="D6" s="14"/>
      <c r="E6" s="14" t="s">
        <v>34</v>
      </c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29" t="s">
        <v>35</v>
      </c>
      <c r="B7" s="21">
        <f>B6/52</f>
        <v>0.0007615384615</v>
      </c>
      <c r="C7" s="31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34"/>
      <c r="B8" s="53"/>
      <c r="C8" s="5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55" t="s">
        <v>36</v>
      </c>
      <c r="B12" s="56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57" t="s">
        <v>37</v>
      </c>
      <c r="B13" s="58" t="s">
        <v>38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59" t="s">
        <v>39</v>
      </c>
      <c r="B14" s="58" t="s">
        <v>40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57" t="s">
        <v>41</v>
      </c>
      <c r="B15" s="58" t="s">
        <v>42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7" t="s">
        <v>43</v>
      </c>
      <c r="B16" s="58" t="s">
        <v>44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60"/>
      <c r="B17" s="61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57" t="s">
        <v>45</v>
      </c>
      <c r="B18" s="62">
        <v>54.0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57" t="s">
        <v>46</v>
      </c>
      <c r="B19" s="62">
        <v>53.0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57" t="s">
        <v>47</v>
      </c>
      <c r="B20" s="62">
        <v>53.0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57" t="s">
        <v>48</v>
      </c>
      <c r="B21" s="62" t="s">
        <v>49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57" t="s">
        <v>50</v>
      </c>
      <c r="B22" s="63">
        <f>Combine!J18/Combine!I18</f>
        <v>1.288369361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57" t="s">
        <v>51</v>
      </c>
      <c r="B23" s="64">
        <f>_xlfn.F.DIST.RT(B22,53,53)</f>
        <v>0.1796368426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65" t="s">
        <v>52</v>
      </c>
      <c r="B24" s="66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3">
    <mergeCell ref="A1:C2"/>
    <mergeCell ref="A12:B12"/>
    <mergeCell ref="A24:B2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" t="s">
        <v>53</v>
      </c>
      <c r="C1" s="1" t="s">
        <v>54</v>
      </c>
      <c r="G1" s="1" t="s">
        <v>55</v>
      </c>
    </row>
    <row r="2">
      <c r="A2" s="18">
        <v>46091.0</v>
      </c>
      <c r="B2" s="67">
        <f>ifna(VLOOKUP(A2, Combine!A2:F58,4,0),"")</f>
        <v>0</v>
      </c>
      <c r="C2" s="67">
        <v>0.006151317058406214</v>
      </c>
      <c r="G2" s="1"/>
    </row>
    <row r="3">
      <c r="A3" s="18">
        <v>46090.0</v>
      </c>
      <c r="B3" s="67">
        <f>ifna(VLOOKUP(A3, Combine!A3:F59,4,0),"")</f>
        <v>0.008533357671</v>
      </c>
      <c r="C3" s="67">
        <v>-0.020186425697206523</v>
      </c>
      <c r="G3" s="1" t="s">
        <v>56</v>
      </c>
    </row>
    <row r="4">
      <c r="A4" s="18">
        <v>46083.0</v>
      </c>
      <c r="B4" s="67">
        <f>ifna(VLOOKUP(A4, Combine!A4:F60,4,0),"")</f>
        <v>-0.09588249856</v>
      </c>
      <c r="C4" s="67">
        <v>-0.004433020575988711</v>
      </c>
      <c r="G4" s="1" t="s">
        <v>57</v>
      </c>
      <c r="H4" s="1">
        <v>0.255505385</v>
      </c>
    </row>
    <row r="5">
      <c r="A5" s="18">
        <v>46076.0</v>
      </c>
      <c r="B5" s="67">
        <f>ifna(VLOOKUP(A5, Combine!A5:F61,4,0),"")</f>
        <v>0.01160267112</v>
      </c>
      <c r="C5" s="67">
        <v>0.0107282294033062</v>
      </c>
      <c r="G5" s="1" t="s">
        <v>58</v>
      </c>
      <c r="H5" s="1">
        <v>0.065283002</v>
      </c>
    </row>
    <row r="6">
      <c r="A6" s="18">
        <v>46069.0</v>
      </c>
      <c r="B6" s="67">
        <f>ifna(VLOOKUP(A6, Combine!A6:F62,4,0),"")</f>
        <v>-0.03499939587</v>
      </c>
      <c r="C6" s="67">
        <v>-0.013866970558112035</v>
      </c>
      <c r="G6" s="1" t="s">
        <v>59</v>
      </c>
      <c r="H6" s="1">
        <v>0.046588662</v>
      </c>
    </row>
    <row r="7">
      <c r="A7" s="18">
        <v>46062.0</v>
      </c>
      <c r="B7" s="67">
        <f>ifna(VLOOKUP(A7, Combine!A7:F63,4,0),"")</f>
        <v>0.01666530178</v>
      </c>
      <c r="C7" s="67">
        <v>-9.698761930700961E-4</v>
      </c>
      <c r="G7" s="1" t="s">
        <v>60</v>
      </c>
      <c r="H7" s="1">
        <v>0.041958387</v>
      </c>
    </row>
    <row r="8">
      <c r="A8" s="18">
        <v>46055.0</v>
      </c>
      <c r="B8" s="67">
        <f>ifna(VLOOKUP(A8, Combine!A8:F64,4,0),"")</f>
        <v>0.07652296571</v>
      </c>
      <c r="C8" s="67">
        <v>0.003386541461996906</v>
      </c>
      <c r="G8" s="1" t="s">
        <v>61</v>
      </c>
      <c r="H8" s="1">
        <v>52.0</v>
      </c>
    </row>
    <row r="9">
      <c r="A9" s="18">
        <v>46048.0</v>
      </c>
      <c r="B9" s="67">
        <f>ifna(VLOOKUP(A9, Combine!A9:F65,4,0),"")</f>
        <v>0.00256319604</v>
      </c>
      <c r="C9" s="67">
        <v>-0.003515845078033153</v>
      </c>
    </row>
    <row r="10">
      <c r="A10" s="18">
        <v>46041.0</v>
      </c>
      <c r="B10" s="67">
        <f>ifna(VLOOKUP(A10, Combine!A10:F66,4,0),"")</f>
        <v>-0.02221069916</v>
      </c>
      <c r="C10" s="67">
        <v>-0.003771022697910409</v>
      </c>
      <c r="G10" s="1" t="s">
        <v>62</v>
      </c>
    </row>
    <row r="11">
      <c r="A11" s="18">
        <v>46034.0</v>
      </c>
      <c r="B11" s="67">
        <f>ifna(VLOOKUP(A11, Combine!A11:F67,4,0),"")</f>
        <v>0.04469122427</v>
      </c>
      <c r="C11" s="67">
        <v>0.015719249336951124</v>
      </c>
      <c r="H11" s="1" t="s">
        <v>63</v>
      </c>
      <c r="I11" s="1" t="s">
        <v>64</v>
      </c>
      <c r="J11" s="1" t="s">
        <v>65</v>
      </c>
      <c r="K11" s="1" t="s">
        <v>66</v>
      </c>
      <c r="L11" s="1" t="s">
        <v>67</v>
      </c>
    </row>
    <row r="12">
      <c r="A12" s="18">
        <v>46027.0</v>
      </c>
      <c r="B12" s="67">
        <f>ifna(VLOOKUP(A12, Combine!A12:F68,4,0),"")</f>
        <v>0.01675310965</v>
      </c>
      <c r="C12" s="67">
        <v>-0.01031322060508455</v>
      </c>
      <c r="G12" s="1" t="s">
        <v>68</v>
      </c>
      <c r="H12" s="1">
        <v>1.0</v>
      </c>
      <c r="I12" s="1">
        <v>0.006147911</v>
      </c>
      <c r="J12" s="1">
        <v>0.006147911</v>
      </c>
      <c r="K12" s="1">
        <v>3.492126601</v>
      </c>
      <c r="L12" s="1">
        <v>0.067525167</v>
      </c>
    </row>
    <row r="13">
      <c r="A13" s="18">
        <v>46020.0</v>
      </c>
      <c r="B13" s="67">
        <f>ifna(VLOOKUP(A13, Combine!A13:F69,4,0),"")</f>
        <v>0.00577047364</v>
      </c>
      <c r="C13" s="67">
        <v>0.013964445094739819</v>
      </c>
      <c r="G13" s="1" t="s">
        <v>69</v>
      </c>
      <c r="H13" s="1">
        <v>50.0</v>
      </c>
      <c r="I13" s="1">
        <v>0.08802531</v>
      </c>
      <c r="J13" s="1">
        <v>0.001760506</v>
      </c>
    </row>
    <row r="14">
      <c r="A14" s="18">
        <v>46013.0</v>
      </c>
      <c r="B14" s="67">
        <f>ifna(VLOOKUP(A14, Combine!A14:F70,4,0),"")</f>
        <v>-0.01258090984</v>
      </c>
      <c r="C14" s="67">
        <v>0.001038461144123426</v>
      </c>
      <c r="G14" s="1" t="s">
        <v>70</v>
      </c>
      <c r="H14" s="1">
        <v>51.0</v>
      </c>
      <c r="I14" s="1">
        <v>0.094173221</v>
      </c>
    </row>
    <row r="15">
      <c r="A15" s="18">
        <v>46006.0</v>
      </c>
      <c r="B15" s="67">
        <f>ifna(VLOOKUP(A15, Combine!A15:F71,4,0),"")</f>
        <v>0.05410340188</v>
      </c>
      <c r="C15" s="67">
        <v>-0.0062572775966464045</v>
      </c>
    </row>
    <row r="16">
      <c r="A16" s="18">
        <v>45999.0</v>
      </c>
      <c r="B16" s="67">
        <f>ifna(VLOOKUP(A16, Combine!A16:F72,4,0),"")</f>
        <v>0.05881155881</v>
      </c>
      <c r="C16" s="67">
        <v>0.003111362239363036</v>
      </c>
      <c r="H16" s="1" t="s">
        <v>71</v>
      </c>
      <c r="I16" s="1" t="s">
        <v>60</v>
      </c>
      <c r="J16" s="1" t="s">
        <v>72</v>
      </c>
      <c r="K16" s="1" t="s">
        <v>73</v>
      </c>
      <c r="L16" s="1" t="s">
        <v>74</v>
      </c>
      <c r="M16" s="1" t="s">
        <v>75</v>
      </c>
      <c r="N16" s="1" t="s">
        <v>76</v>
      </c>
      <c r="O16" s="1" t="s">
        <v>77</v>
      </c>
    </row>
    <row r="17">
      <c r="A17" s="18">
        <v>45992.0</v>
      </c>
      <c r="B17" s="67">
        <f>ifna(VLOOKUP(A17, Combine!A17:F73,4,0),"")</f>
        <v>-0.02630405707</v>
      </c>
      <c r="C17" s="67">
        <v>0.037270993898218974</v>
      </c>
      <c r="G17" s="1" t="s">
        <v>78</v>
      </c>
      <c r="H17" s="1">
        <v>0.0071733</v>
      </c>
      <c r="I17" s="1">
        <v>0.005901015</v>
      </c>
      <c r="J17" s="1">
        <v>1.215604575</v>
      </c>
      <c r="K17" s="1">
        <v>0.229844138</v>
      </c>
      <c r="L17" s="1">
        <v>-0.004679236</v>
      </c>
      <c r="M17" s="1">
        <v>0.019025837</v>
      </c>
      <c r="N17" s="1">
        <v>-0.004679236</v>
      </c>
      <c r="O17" s="1">
        <v>0.019025837</v>
      </c>
    </row>
    <row r="18">
      <c r="A18" s="18">
        <v>45985.0</v>
      </c>
      <c r="B18" s="67">
        <f>ifna(VLOOKUP(A18, Combine!A18:F74,4,0),"")</f>
        <v>0.02150592045</v>
      </c>
      <c r="C18" s="67">
        <v>-0.019471021411886613</v>
      </c>
      <c r="G18" s="1" t="s">
        <v>79</v>
      </c>
      <c r="H18" s="1">
        <v>-0.481409396</v>
      </c>
      <c r="I18" s="1">
        <v>0.257614066</v>
      </c>
      <c r="J18" s="1">
        <v>-1.868723254</v>
      </c>
      <c r="K18" s="1">
        <v>0.067525167</v>
      </c>
      <c r="L18" s="1">
        <v>-0.998842476</v>
      </c>
      <c r="M18" s="1">
        <v>0.036023684</v>
      </c>
      <c r="N18" s="1">
        <v>-0.998842476</v>
      </c>
      <c r="O18" s="1">
        <v>0.036023684</v>
      </c>
    </row>
    <row r="19">
      <c r="A19" s="18">
        <v>45978.0</v>
      </c>
      <c r="B19" s="67">
        <f>ifna(VLOOKUP(A19, Combine!A19:F75,4,0),"")</f>
        <v>-0.03165425323</v>
      </c>
      <c r="C19" s="67">
        <v>7.891451670429817E-4</v>
      </c>
    </row>
    <row r="20">
      <c r="A20" s="18">
        <v>45971.0</v>
      </c>
      <c r="B20" s="67">
        <f>ifna(VLOOKUP(A20, Combine!A20:F76,4,0),"")</f>
        <v>0.01039706902</v>
      </c>
      <c r="C20" s="67">
        <v>-0.01628607350662259</v>
      </c>
    </row>
    <row r="21">
      <c r="A21" s="18">
        <v>45964.0</v>
      </c>
      <c r="B21" s="67">
        <f>ifna(VLOOKUP(A21, Combine!A21:F77,4,0),"")</f>
        <v>-0.01082325285</v>
      </c>
      <c r="C21" s="67">
        <v>0.0071425521482870735</v>
      </c>
    </row>
    <row r="22">
      <c r="A22" s="18">
        <v>45957.0</v>
      </c>
      <c r="B22" s="67">
        <f>ifna(VLOOKUP(A22, Combine!A22:F78,4,0),"")</f>
        <v>-0.005745727224</v>
      </c>
      <c r="C22" s="67">
        <v>0.019159635114593065</v>
      </c>
    </row>
    <row r="23">
      <c r="A23" s="18">
        <v>45950.0</v>
      </c>
      <c r="B23" s="67">
        <f>ifna(VLOOKUP(A23, Combine!A23:F79,4,0),"")</f>
        <v>0.03811353182</v>
      </c>
      <c r="C23" s="67">
        <v>0.017016379982632612</v>
      </c>
    </row>
    <row r="24">
      <c r="A24" s="18">
        <v>45943.0</v>
      </c>
      <c r="B24" s="67">
        <f>ifna(VLOOKUP(A24, Combine!A24:F80,4,0),"")</f>
        <v>0.06808120073</v>
      </c>
      <c r="C24" s="67">
        <v>-0.024312850759180882</v>
      </c>
    </row>
    <row r="25">
      <c r="A25" s="18">
        <v>45936.0</v>
      </c>
      <c r="B25" s="67">
        <f>ifna(VLOOKUP(A25, Combine!A25:F81,4,0),"")</f>
        <v>-0.04815252582</v>
      </c>
      <c r="C25" s="67">
        <v>0.0108508812860304</v>
      </c>
    </row>
    <row r="26">
      <c r="A26" s="18">
        <v>45929.0</v>
      </c>
      <c r="B26" s="67">
        <f>ifna(VLOOKUP(A26, Combine!A26:F82,4,0),"")</f>
        <v>-0.01771832408</v>
      </c>
      <c r="C26" s="67">
        <v>-0.0031000726251282362</v>
      </c>
    </row>
    <row r="27">
      <c r="A27" s="18">
        <v>45922.0</v>
      </c>
      <c r="B27" s="67">
        <f>ifna(VLOOKUP(A27, Combine!A27:F83,4,0),"")</f>
        <v>-0.004272430259</v>
      </c>
      <c r="C27" s="67">
        <v>0.01216076448637593</v>
      </c>
    </row>
    <row r="28">
      <c r="A28" s="18">
        <v>45915.0</v>
      </c>
      <c r="B28" s="67">
        <f>ifna(VLOOKUP(A28, Combine!A28:F84,4,0),"")</f>
        <v>0.01437821853</v>
      </c>
      <c r="C28" s="67">
        <v>0.015858983260047754</v>
      </c>
    </row>
    <row r="29">
      <c r="A29" s="18">
        <v>45908.0</v>
      </c>
      <c r="B29" s="67">
        <f>ifna(VLOOKUP(A29, Combine!A29:F85,4,0),"")</f>
        <v>-0.01748321811</v>
      </c>
      <c r="C29" s="67">
        <v>0.003287793370545522</v>
      </c>
    </row>
    <row r="30">
      <c r="A30" s="18">
        <v>45901.0</v>
      </c>
      <c r="B30" s="67">
        <f>ifna(VLOOKUP(A30, Combine!A30:F86,4,0),"")</f>
        <v>0.02595466927</v>
      </c>
      <c r="C30" s="67">
        <v>-0.0010283118212561781</v>
      </c>
    </row>
    <row r="31">
      <c r="A31" s="18">
        <v>45894.0</v>
      </c>
      <c r="B31" s="67">
        <f>ifna(VLOOKUP(A31, Combine!A31:F87,4,0),"")</f>
        <v>-0.03376868451</v>
      </c>
      <c r="C31" s="67">
        <v>0.00265279543551733</v>
      </c>
    </row>
    <row r="32">
      <c r="A32" s="18">
        <v>45887.0</v>
      </c>
      <c r="B32" s="67">
        <f>ifna(VLOOKUP(A32, Combine!A32:F88,4,0),"")</f>
        <v>0.03981204172</v>
      </c>
      <c r="C32" s="67">
        <v>0.00944525741652269</v>
      </c>
    </row>
    <row r="33">
      <c r="A33" s="18">
        <v>45880.0</v>
      </c>
      <c r="B33" s="67">
        <f>ifna(VLOOKUP(A33, Combine!A33:F89,4,0),"")</f>
        <v>0.0266115352</v>
      </c>
      <c r="C33" s="67">
        <v>0.0242769729448975</v>
      </c>
    </row>
    <row r="34">
      <c r="A34" s="18">
        <v>45873.0</v>
      </c>
      <c r="B34" s="67">
        <f>ifna(VLOOKUP(A34, Combine!A34:F90,4,0),"")</f>
        <v>0.04980800267</v>
      </c>
      <c r="C34" s="67">
        <v>-0.02357778807383104</v>
      </c>
    </row>
    <row r="35">
      <c r="A35" s="18">
        <v>45866.0</v>
      </c>
      <c r="B35" s="67">
        <f>ifna(VLOOKUP(A35, Combine!A35:F91,4,0),"")</f>
        <v>-0.04668682689</v>
      </c>
      <c r="C35" s="67">
        <v>0.014586797399945173</v>
      </c>
    </row>
    <row r="36">
      <c r="A36" s="18">
        <v>45859.0</v>
      </c>
      <c r="B36" s="67">
        <f>ifna(VLOOKUP(A36, Combine!A36:F92,4,0),"")</f>
        <v>0.117640083</v>
      </c>
      <c r="C36" s="67">
        <v>0.005917169216022922</v>
      </c>
    </row>
    <row r="37">
      <c r="A37" s="18">
        <v>45852.0</v>
      </c>
      <c r="B37" s="67">
        <f>ifna(VLOOKUP(A37, Combine!A37:F93,4,0),"")</f>
        <v>-0.009456125925</v>
      </c>
      <c r="C37" s="67">
        <v>-0.0031213421771362215</v>
      </c>
    </row>
    <row r="38">
      <c r="A38" s="18">
        <v>45845.0</v>
      </c>
      <c r="B38" s="67">
        <f>ifna(VLOOKUP(A38, Combine!A38:F94,4,0),"")</f>
        <v>-0.02647378352</v>
      </c>
      <c r="C38" s="67">
        <v>0.01721671712778261</v>
      </c>
    </row>
    <row r="39">
      <c r="A39" s="18">
        <v>45838.0</v>
      </c>
      <c r="B39" s="67">
        <f>ifna(VLOOKUP(A39, Combine!A39:F95,4,0),"")</f>
        <v>-0.004836690566</v>
      </c>
      <c r="C39" s="67">
        <v>0.03438932679160289</v>
      </c>
    </row>
    <row r="40">
      <c r="A40" s="18">
        <v>45831.0</v>
      </c>
      <c r="B40" s="67">
        <f>ifna(VLOOKUP(A40, Combine!A40:F96,4,0),"")</f>
        <v>0.01937354988</v>
      </c>
      <c r="C40" s="67">
        <v>-0.0015275298353514266</v>
      </c>
    </row>
    <row r="41">
      <c r="A41" s="18">
        <v>45824.0</v>
      </c>
      <c r="B41" s="67">
        <f>ifna(VLOOKUP(A41, Combine!A41:F97,4,0),"")</f>
        <v>-0.03552447552</v>
      </c>
      <c r="C41" s="67">
        <v>-0.00389809944736641</v>
      </c>
    </row>
    <row r="42">
      <c r="A42" s="18">
        <v>45817.0</v>
      </c>
      <c r="B42" s="67">
        <f>ifna(VLOOKUP(A42, Combine!A42:F98,4,0),"")</f>
        <v>-0.03451442152</v>
      </c>
      <c r="C42" s="67">
        <v>0.014999095013439545</v>
      </c>
    </row>
    <row r="43">
      <c r="A43" s="18">
        <v>45810.0</v>
      </c>
      <c r="B43" s="67">
        <f>ifna(VLOOKUP(A43, Combine!A43:F99,4,0),"")</f>
        <v>-0.02849346697</v>
      </c>
      <c r="C43" s="67">
        <v>0.018761567651589983</v>
      </c>
    </row>
    <row r="44">
      <c r="A44" s="18">
        <v>45803.0</v>
      </c>
      <c r="B44" s="67">
        <f>ifna(VLOOKUP(A44, Combine!A44:F100,4,0),"")</f>
        <v>0.04536478332</v>
      </c>
      <c r="C44" s="67">
        <v>-0.02610776754755495</v>
      </c>
    </row>
    <row r="45">
      <c r="A45" s="18">
        <v>45796.0</v>
      </c>
      <c r="B45" s="67">
        <f>ifna(VLOOKUP(A45, Combine!A45:F101,4,0),"")</f>
        <v>-0.004858343796</v>
      </c>
      <c r="C45" s="67">
        <v>0.05273405407506493</v>
      </c>
    </row>
    <row r="46">
      <c r="A46" s="18">
        <v>45789.0</v>
      </c>
      <c r="B46" s="67">
        <f>ifna(VLOOKUP(A46, Combine!A46:F102,4,0),"")</f>
        <v>-0.02314296379</v>
      </c>
      <c r="C46" s="67">
        <v>-0.004705741673070585</v>
      </c>
    </row>
    <row r="47">
      <c r="A47" s="18">
        <v>45782.0</v>
      </c>
      <c r="B47" s="67">
        <f>ifna(VLOOKUP(A47, Combine!A47:F103,4,0),"")</f>
        <v>-0.02450062422</v>
      </c>
      <c r="C47" s="67">
        <v>0.02922241869539799</v>
      </c>
    </row>
    <row r="48">
      <c r="A48" s="18">
        <v>45775.0</v>
      </c>
      <c r="B48" s="67">
        <f>ifna(VLOOKUP(A48, Combine!A48:F104,4,0),"")</f>
        <v>0.02141225227</v>
      </c>
      <c r="C48" s="67">
        <v>0.04590644935355037</v>
      </c>
    </row>
    <row r="49">
      <c r="A49" s="18">
        <v>45768.0</v>
      </c>
      <c r="B49" s="67">
        <f>ifna(VLOOKUP(A49, Combine!A49:F105,4,0),"")</f>
        <v>0.0670710965</v>
      </c>
      <c r="C49" s="67">
        <v>-0.01503907997971421</v>
      </c>
    </row>
    <row r="50">
      <c r="A50" s="18">
        <v>45761.0</v>
      </c>
      <c r="B50" s="67">
        <f>ifna(VLOOKUP(A50, Combine!A50:F106,4,0),"")</f>
        <v>0.04108133632</v>
      </c>
      <c r="C50" s="67">
        <v>0.05701132027874989</v>
      </c>
    </row>
    <row r="51">
      <c r="A51" s="18">
        <v>45754.0</v>
      </c>
      <c r="B51" s="67">
        <f>ifna(VLOOKUP(A51, Combine!A51:F107,4,0),"")</f>
        <v>0.08902744745</v>
      </c>
      <c r="C51" s="67">
        <v>-0.09081982605080863</v>
      </c>
    </row>
    <row r="52">
      <c r="A52" s="18">
        <v>45747.0</v>
      </c>
      <c r="B52" s="67">
        <f>ifna(VLOOKUP(A52, Combine!A52:F108,4,0),"")</f>
        <v>0</v>
      </c>
      <c r="C52" s="67">
        <v>-0.01528347295838084</v>
      </c>
    </row>
    <row r="53">
      <c r="A53" s="18">
        <v>45747.0</v>
      </c>
      <c r="B53" s="67">
        <f>ifna(VLOOKUP(A53, Combine!A53:F109,4,0),"")</f>
        <v>-0.1141165082</v>
      </c>
      <c r="C53" s="67">
        <v>0.0050754219764708175</v>
      </c>
    </row>
    <row r="54">
      <c r="A54" s="18">
        <v>45740.0</v>
      </c>
      <c r="B54" s="67">
        <f>ifna(VLOOKUP(A54, Combine!A54:F110,4,0),"")</f>
        <v>-0.0610095177</v>
      </c>
      <c r="C54" s="67"/>
    </row>
    <row r="55">
      <c r="A55" s="18"/>
      <c r="B55" s="67"/>
      <c r="C55" s="67"/>
    </row>
    <row r="56">
      <c r="A56" s="18"/>
      <c r="B56" s="67"/>
      <c r="C56" s="67"/>
    </row>
    <row r="57">
      <c r="A57" s="39"/>
      <c r="B57" s="67" t="str">
        <f>ifna(VLOOKUP(A57, Combine!A57:F113,4,0),"")</f>
        <v/>
      </c>
      <c r="C57" s="67"/>
    </row>
    <row r="58">
      <c r="A58" s="39"/>
      <c r="B58" s="67" t="str">
        <f>ifna(VLOOKUP(A58, Combine!A58:F114,4,0),"")</f>
        <v/>
      </c>
      <c r="C58" s="67"/>
    </row>
    <row r="59">
      <c r="A59" s="39"/>
      <c r="B59" s="67" t="str">
        <f>ifna(VLOOKUP(A59, Combine!A59:F115,4,0),"")</f>
        <v/>
      </c>
      <c r="C59" s="67"/>
    </row>
    <row r="60">
      <c r="A60" s="39"/>
      <c r="B60" s="67" t="str">
        <f>ifna(VLOOKUP(A60, Combine!A60:F116,4,0),"")</f>
        <v/>
      </c>
      <c r="C60" s="67"/>
    </row>
    <row r="61">
      <c r="A61" s="39"/>
      <c r="B61" s="67" t="str">
        <f>ifna(VLOOKUP(A61, Combine!A61:F117,4,0),"")</f>
        <v/>
      </c>
      <c r="C61" s="67"/>
    </row>
    <row r="62">
      <c r="A62" s="39"/>
      <c r="B62" s="67" t="str">
        <f>ifna(VLOOKUP(A62, Combine!A62:F118,4,0),"")</f>
        <v/>
      </c>
      <c r="C62" s="67"/>
    </row>
    <row r="63">
      <c r="A63" s="39"/>
      <c r="B63" s="67" t="str">
        <f>ifna(VLOOKUP(A63, Combine!A63:F119,4,0),"")</f>
        <v/>
      </c>
      <c r="C63" s="67"/>
    </row>
    <row r="64">
      <c r="A64" s="39"/>
      <c r="B64" s="67" t="str">
        <f>ifna(VLOOKUP(A64, Combine!A64:F120,4,0),"")</f>
        <v/>
      </c>
      <c r="C64" s="67"/>
    </row>
    <row r="65">
      <c r="A65" s="39"/>
      <c r="B65" s="67" t="str">
        <f>ifna(VLOOKUP(A65, Combine!A65:F121,4,0),"")</f>
        <v/>
      </c>
      <c r="C65" s="67"/>
    </row>
    <row r="66">
      <c r="A66" s="39"/>
      <c r="B66" s="67" t="str">
        <f>ifna(VLOOKUP(A66, Combine!A66:F122,4,0),"")</f>
        <v/>
      </c>
      <c r="C66" s="67"/>
    </row>
    <row r="67">
      <c r="A67" s="39"/>
      <c r="B67" s="67" t="str">
        <f>ifna(VLOOKUP(A67, Combine!A67:F123,4,0),"")</f>
        <v/>
      </c>
      <c r="C67" s="67"/>
    </row>
    <row r="68">
      <c r="A68" s="39"/>
      <c r="B68" s="67" t="str">
        <f>ifna(VLOOKUP(A68, Combine!A68:F124,4,0),"")</f>
        <v/>
      </c>
      <c r="C68" s="67"/>
    </row>
    <row r="69">
      <c r="A69" s="39"/>
      <c r="B69" s="67" t="str">
        <f>ifna(VLOOKUP(A69, Combine!A69:F125,4,0),"")</f>
        <v/>
      </c>
      <c r="C69" s="67"/>
    </row>
    <row r="70">
      <c r="A70" s="39"/>
      <c r="B70" s="67" t="str">
        <f>ifna(VLOOKUP(A70, Combine!A70:F126,4,0),"")</f>
        <v/>
      </c>
      <c r="C70" s="67"/>
    </row>
    <row r="71">
      <c r="A71" s="39"/>
      <c r="B71" s="67" t="str">
        <f>ifna(VLOOKUP(A71, Combine!A71:F127,4,0),"")</f>
        <v/>
      </c>
      <c r="C71" s="67"/>
    </row>
    <row r="72">
      <c r="A72" s="39"/>
      <c r="B72" s="67" t="str">
        <f>ifna(VLOOKUP(A72, Combine!A72:F128,4,0),"")</f>
        <v/>
      </c>
      <c r="C72" s="67"/>
    </row>
    <row r="73">
      <c r="A73" s="39"/>
      <c r="B73" s="67" t="str">
        <f>ifna(VLOOKUP(A73, Combine!A73:F129,4,0),"")</f>
        <v/>
      </c>
      <c r="C73" s="67"/>
    </row>
    <row r="74">
      <c r="A74" s="39"/>
      <c r="B74" s="67" t="str">
        <f>ifna(VLOOKUP(A74, Combine!A74:F130,4,0),"")</f>
        <v/>
      </c>
      <c r="C74" s="67"/>
    </row>
    <row r="75">
      <c r="A75" s="39"/>
      <c r="B75" s="67" t="str">
        <f>ifna(VLOOKUP(A75, Combine!A75:F131,4,0),"")</f>
        <v/>
      </c>
      <c r="C75" s="67"/>
    </row>
    <row r="76">
      <c r="A76" s="39"/>
      <c r="B76" s="67" t="str">
        <f>ifna(VLOOKUP(A76, Combine!A76:F132,4,0),"")</f>
        <v/>
      </c>
      <c r="C76" s="67"/>
    </row>
    <row r="77">
      <c r="A77" s="39"/>
      <c r="B77" s="67" t="str">
        <f>ifna(VLOOKUP(A77, Combine!A77:F133,4,0),"")</f>
        <v/>
      </c>
      <c r="C77" s="67"/>
    </row>
    <row r="78">
      <c r="A78" s="39"/>
      <c r="B78" s="67" t="str">
        <f>ifna(VLOOKUP(A78, Combine!A78:F134,4,0),"")</f>
        <v/>
      </c>
      <c r="C78" s="67"/>
    </row>
    <row r="79">
      <c r="A79" s="39"/>
      <c r="B79" s="67" t="str">
        <f>ifna(VLOOKUP(A79, Combine!A79:F135,4,0),"")</f>
        <v/>
      </c>
      <c r="C79" s="67"/>
    </row>
    <row r="80">
      <c r="A80" s="39"/>
      <c r="B80" s="67" t="str">
        <f>ifna(VLOOKUP(A80, Combine!A80:F136,4,0),"")</f>
        <v/>
      </c>
      <c r="C80" s="67"/>
    </row>
    <row r="81">
      <c r="A81" s="39"/>
      <c r="B81" s="67" t="str">
        <f>ifna(VLOOKUP(A81, Combine!A81:F137,4,0),"")</f>
        <v/>
      </c>
      <c r="C81" s="67"/>
    </row>
    <row r="82">
      <c r="A82" s="39"/>
      <c r="B82" s="67" t="str">
        <f>ifna(VLOOKUP(A82, Combine!A82:F138,4,0),"")</f>
        <v/>
      </c>
      <c r="C82" s="67"/>
    </row>
    <row r="83">
      <c r="A83" s="39"/>
      <c r="B83" s="67" t="str">
        <f>ifna(VLOOKUP(A83, Combine!A83:F139,4,0),"")</f>
        <v/>
      </c>
      <c r="C83" s="67"/>
    </row>
    <row r="84">
      <c r="A84" s="39"/>
      <c r="B84" s="67" t="str">
        <f>ifna(VLOOKUP(A84, Combine!A84:F140,4,0),"")</f>
        <v/>
      </c>
      <c r="C84" s="67"/>
    </row>
    <row r="85">
      <c r="A85" s="39"/>
      <c r="B85" s="67" t="str">
        <f>ifna(VLOOKUP(A85, Combine!A85:F141,4,0),"")</f>
        <v/>
      </c>
      <c r="C85" s="67"/>
    </row>
    <row r="86">
      <c r="A86" s="39"/>
      <c r="B86" s="67" t="str">
        <f>ifna(VLOOKUP(A86, Combine!A86:F142,4,0),"")</f>
        <v/>
      </c>
      <c r="C86" s="67"/>
    </row>
    <row r="87">
      <c r="A87" s="39"/>
      <c r="B87" s="67" t="str">
        <f>ifna(VLOOKUP(A87, Combine!A87:F143,4,0),"")</f>
        <v/>
      </c>
      <c r="C87" s="67"/>
    </row>
    <row r="88">
      <c r="A88" s="39"/>
      <c r="B88" s="67" t="str">
        <f>ifna(VLOOKUP(A88, Combine!A88:F144,4,0),"")</f>
        <v/>
      </c>
      <c r="C88" s="67"/>
    </row>
    <row r="89">
      <c r="A89" s="39"/>
      <c r="B89" s="67" t="str">
        <f>ifna(VLOOKUP(A89, Combine!A89:F145,4,0),"")</f>
        <v/>
      </c>
      <c r="C89" s="67"/>
    </row>
    <row r="90">
      <c r="A90" s="39"/>
      <c r="B90" s="67" t="str">
        <f>ifna(VLOOKUP(A90, Combine!A90:F146,4,0),"")</f>
        <v/>
      </c>
      <c r="C90" s="67"/>
    </row>
    <row r="91">
      <c r="A91" s="39"/>
      <c r="B91" s="67" t="str">
        <f>ifna(VLOOKUP(A91, Combine!A91:F147,4,0),"")</f>
        <v/>
      </c>
      <c r="C91" s="67"/>
    </row>
    <row r="92">
      <c r="A92" s="39"/>
      <c r="B92" s="67" t="str">
        <f>ifna(VLOOKUP(A92, Combine!A92:F148,4,0),"")</f>
        <v/>
      </c>
      <c r="C92" s="67"/>
    </row>
    <row r="93">
      <c r="A93" s="39"/>
      <c r="B93" s="67" t="str">
        <f>ifna(VLOOKUP(A93, Combine!A93:F149,4,0),"")</f>
        <v/>
      </c>
      <c r="C93" s="67"/>
    </row>
    <row r="94">
      <c r="A94" s="39"/>
      <c r="B94" s="67" t="str">
        <f>ifna(VLOOKUP(A94, Combine!A94:F150,4,0),"")</f>
        <v/>
      </c>
      <c r="C94" s="67"/>
    </row>
    <row r="95">
      <c r="A95" s="39"/>
      <c r="B95" s="67" t="str">
        <f>ifna(VLOOKUP(A95, Combine!A95:F151,4,0),"")</f>
        <v/>
      </c>
      <c r="C95" s="67"/>
    </row>
    <row r="96">
      <c r="A96" s="39"/>
      <c r="B96" s="67" t="str">
        <f>ifna(VLOOKUP(A96, Combine!A96:F152,4,0),"")</f>
        <v/>
      </c>
      <c r="C96" s="67"/>
    </row>
    <row r="97">
      <c r="A97" s="39"/>
      <c r="B97" s="67" t="str">
        <f>ifna(VLOOKUP(A97, Combine!A97:F153,4,0),"")</f>
        <v/>
      </c>
      <c r="C97" s="67"/>
    </row>
    <row r="98">
      <c r="A98" s="39"/>
      <c r="B98" s="67"/>
      <c r="C98" s="67"/>
    </row>
    <row r="99">
      <c r="A99" s="39"/>
      <c r="B99" s="67"/>
      <c r="C99" s="67"/>
    </row>
    <row r="100">
      <c r="A100" s="39"/>
      <c r="B100" s="67"/>
      <c r="C100" s="67"/>
    </row>
    <row r="101">
      <c r="A101" s="39"/>
      <c r="B101" s="67"/>
      <c r="C101" s="67"/>
    </row>
    <row r="102">
      <c r="A102" s="39"/>
      <c r="B102" s="67"/>
      <c r="C102" s="67"/>
    </row>
    <row r="103">
      <c r="A103" s="39"/>
      <c r="B103" s="67"/>
      <c r="C103" s="67"/>
    </row>
    <row r="104">
      <c r="A104" s="39"/>
      <c r="B104" s="67"/>
      <c r="C104" s="67"/>
    </row>
    <row r="105">
      <c r="A105" s="39"/>
      <c r="B105" s="67"/>
      <c r="C105" s="67"/>
    </row>
    <row r="106">
      <c r="A106" s="39"/>
      <c r="B106" s="67"/>
      <c r="C106" s="67"/>
    </row>
    <row r="107">
      <c r="A107" s="39"/>
      <c r="B107" s="67"/>
      <c r="C107" s="67"/>
    </row>
    <row r="108">
      <c r="A108" s="39"/>
      <c r="B108" s="67"/>
      <c r="C108" s="67"/>
    </row>
    <row r="109">
      <c r="A109" s="39"/>
      <c r="B109" s="67"/>
      <c r="C109" s="67"/>
    </row>
    <row r="110">
      <c r="A110" s="39"/>
      <c r="B110" s="67"/>
      <c r="C110" s="67"/>
    </row>
    <row r="111">
      <c r="A111" s="39"/>
      <c r="B111" s="67"/>
      <c r="C111" s="67"/>
    </row>
    <row r="112">
      <c r="A112" s="39"/>
      <c r="B112" s="67"/>
      <c r="C112" s="67"/>
    </row>
    <row r="113">
      <c r="A113" s="39"/>
      <c r="B113" s="67"/>
      <c r="C113" s="67"/>
    </row>
    <row r="114">
      <c r="A114" s="39"/>
      <c r="B114" s="67"/>
      <c r="C114" s="67"/>
    </row>
    <row r="115">
      <c r="A115" s="39"/>
      <c r="B115" s="67"/>
      <c r="C115" s="67"/>
    </row>
    <row r="116">
      <c r="A116" s="39"/>
      <c r="B116" s="67"/>
      <c r="C116" s="67"/>
    </row>
    <row r="117">
      <c r="A117" s="39"/>
      <c r="B117" s="67"/>
      <c r="C117" s="67"/>
    </row>
    <row r="118">
      <c r="A118" s="39"/>
      <c r="B118" s="67"/>
      <c r="C118" s="67"/>
    </row>
    <row r="119">
      <c r="A119" s="39"/>
      <c r="B119" s="67"/>
      <c r="C119" s="67"/>
    </row>
    <row r="120">
      <c r="A120" s="39"/>
      <c r="B120" s="67"/>
      <c r="C120" s="67"/>
    </row>
    <row r="121">
      <c r="A121" s="39"/>
      <c r="B121" s="67"/>
      <c r="C121" s="67"/>
    </row>
    <row r="122">
      <c r="A122" s="39"/>
      <c r="B122" s="67"/>
      <c r="C122" s="67"/>
    </row>
    <row r="123">
      <c r="A123" s="39"/>
      <c r="B123" s="67"/>
      <c r="C123" s="67"/>
    </row>
    <row r="124">
      <c r="A124" s="39"/>
      <c r="B124" s="67"/>
      <c r="C124" s="67"/>
    </row>
    <row r="125">
      <c r="A125" s="39"/>
      <c r="B125" s="67"/>
      <c r="C125" s="67"/>
    </row>
    <row r="126">
      <c r="A126" s="39"/>
      <c r="B126" s="67"/>
      <c r="C126" s="67"/>
    </row>
    <row r="127">
      <c r="A127" s="39"/>
      <c r="B127" s="67"/>
      <c r="C127" s="67"/>
    </row>
    <row r="128">
      <c r="A128" s="39"/>
      <c r="B128" s="67"/>
      <c r="C128" s="67"/>
    </row>
    <row r="129">
      <c r="A129" s="39"/>
      <c r="B129" s="67"/>
      <c r="C129" s="67"/>
    </row>
    <row r="130">
      <c r="A130" s="39"/>
      <c r="B130" s="67"/>
      <c r="C130" s="67"/>
    </row>
    <row r="131">
      <c r="A131" s="39"/>
      <c r="B131" s="67"/>
      <c r="C131" s="67"/>
    </row>
    <row r="132">
      <c r="A132" s="39"/>
      <c r="B132" s="67"/>
      <c r="C132" s="67"/>
    </row>
    <row r="133">
      <c r="A133" s="39"/>
      <c r="B133" s="67"/>
      <c r="C133" s="67"/>
    </row>
    <row r="134">
      <c r="A134" s="39"/>
      <c r="B134" s="67"/>
      <c r="C134" s="67"/>
    </row>
    <row r="135">
      <c r="A135" s="39"/>
      <c r="B135" s="67"/>
      <c r="C135" s="67"/>
    </row>
    <row r="136">
      <c r="A136" s="39"/>
      <c r="B136" s="67"/>
      <c r="C136" s="67"/>
    </row>
    <row r="137">
      <c r="A137" s="39"/>
      <c r="B137" s="67"/>
      <c r="C137" s="67"/>
    </row>
    <row r="138">
      <c r="A138" s="39"/>
      <c r="B138" s="67"/>
      <c r="C138" s="67"/>
    </row>
    <row r="139">
      <c r="A139" s="39"/>
      <c r="B139" s="67"/>
      <c r="C139" s="67"/>
    </row>
    <row r="140">
      <c r="A140" s="39"/>
      <c r="B140" s="67"/>
      <c r="C140" s="67"/>
    </row>
    <row r="141">
      <c r="A141" s="39"/>
      <c r="B141" s="67"/>
      <c r="C141" s="67"/>
    </row>
    <row r="142">
      <c r="A142" s="39"/>
      <c r="B142" s="67"/>
      <c r="C142" s="67"/>
    </row>
    <row r="143">
      <c r="A143" s="39"/>
      <c r="B143" s="67"/>
      <c r="C143" s="67"/>
    </row>
    <row r="144">
      <c r="A144" s="39"/>
      <c r="B144" s="67"/>
      <c r="C144" s="67"/>
    </row>
    <row r="145">
      <c r="A145" s="39"/>
      <c r="B145" s="67"/>
      <c r="C145" s="67"/>
    </row>
    <row r="146">
      <c r="A146" s="39"/>
      <c r="B146" s="67"/>
      <c r="C146" s="67"/>
    </row>
    <row r="147">
      <c r="A147" s="39"/>
      <c r="B147" s="67"/>
      <c r="C147" s="67"/>
    </row>
    <row r="148">
      <c r="A148" s="39"/>
      <c r="B148" s="67"/>
      <c r="C148" s="67"/>
    </row>
    <row r="149">
      <c r="A149" s="39"/>
      <c r="B149" s="67"/>
      <c r="C149" s="67"/>
    </row>
    <row r="150">
      <c r="A150" s="39"/>
      <c r="B150" s="67"/>
      <c r="C150" s="67"/>
    </row>
    <row r="151">
      <c r="A151" s="39"/>
      <c r="B151" s="67"/>
      <c r="C151" s="67"/>
    </row>
    <row r="152">
      <c r="A152" s="39"/>
      <c r="B152" s="67"/>
      <c r="C152" s="67"/>
    </row>
    <row r="153">
      <c r="A153" s="39"/>
      <c r="B153" s="67"/>
      <c r="C153" s="67"/>
    </row>
    <row r="154">
      <c r="A154" s="39"/>
      <c r="B154" s="67"/>
      <c r="C154" s="67"/>
    </row>
    <row r="155">
      <c r="A155" s="39"/>
      <c r="B155" s="67"/>
      <c r="C155" s="67"/>
    </row>
    <row r="156">
      <c r="A156" s="39"/>
      <c r="B156" s="67"/>
      <c r="C156" s="67"/>
    </row>
    <row r="157">
      <c r="A157" s="39"/>
      <c r="B157" s="67"/>
      <c r="C157" s="67"/>
    </row>
    <row r="158">
      <c r="A158" s="39"/>
      <c r="B158" s="67"/>
      <c r="C158" s="67"/>
    </row>
    <row r="159">
      <c r="A159" s="39"/>
      <c r="B159" s="67"/>
      <c r="C159" s="67"/>
    </row>
    <row r="160">
      <c r="A160" s="39"/>
      <c r="B160" s="67"/>
      <c r="C160" s="67"/>
    </row>
    <row r="161">
      <c r="A161" s="39"/>
      <c r="B161" s="67"/>
      <c r="C161" s="67"/>
    </row>
    <row r="162">
      <c r="A162" s="39"/>
      <c r="B162" s="67"/>
      <c r="C162" s="67"/>
    </row>
    <row r="163">
      <c r="A163" s="39"/>
      <c r="B163" s="67"/>
      <c r="C163" s="67"/>
    </row>
    <row r="164">
      <c r="A164" s="39"/>
      <c r="B164" s="67"/>
      <c r="C164" s="67"/>
    </row>
    <row r="165">
      <c r="A165" s="39"/>
      <c r="B165" s="67"/>
      <c r="C165" s="67"/>
    </row>
    <row r="166">
      <c r="A166" s="39"/>
      <c r="B166" s="67"/>
      <c r="C166" s="67"/>
    </row>
    <row r="167">
      <c r="A167" s="39"/>
      <c r="B167" s="67"/>
      <c r="C167" s="67"/>
    </row>
    <row r="168">
      <c r="A168" s="39"/>
      <c r="B168" s="67"/>
      <c r="C168" s="67"/>
    </row>
    <row r="169">
      <c r="A169" s="39"/>
      <c r="B169" s="67"/>
      <c r="C169" s="67"/>
    </row>
    <row r="170">
      <c r="A170" s="39"/>
      <c r="B170" s="67"/>
      <c r="C170" s="67"/>
    </row>
    <row r="171">
      <c r="A171" s="39"/>
      <c r="B171" s="67"/>
      <c r="C171" s="67"/>
    </row>
    <row r="172">
      <c r="A172" s="39"/>
      <c r="B172" s="67"/>
      <c r="C172" s="67"/>
    </row>
    <row r="173">
      <c r="A173" s="39"/>
      <c r="B173" s="67"/>
      <c r="C173" s="67"/>
    </row>
    <row r="174">
      <c r="A174" s="39"/>
      <c r="B174" s="67"/>
      <c r="C174" s="67"/>
    </row>
    <row r="175">
      <c r="A175" s="39"/>
      <c r="B175" s="67"/>
      <c r="C175" s="67"/>
    </row>
    <row r="176">
      <c r="A176" s="39"/>
      <c r="B176" s="67"/>
      <c r="C176" s="67"/>
    </row>
    <row r="177">
      <c r="A177" s="39"/>
      <c r="B177" s="67"/>
      <c r="C177" s="67"/>
    </row>
    <row r="178">
      <c r="A178" s="39"/>
      <c r="B178" s="67"/>
      <c r="C178" s="67"/>
    </row>
    <row r="179">
      <c r="A179" s="39"/>
      <c r="B179" s="67"/>
      <c r="C179" s="67"/>
    </row>
    <row r="180">
      <c r="A180" s="39"/>
      <c r="B180" s="67"/>
      <c r="C180" s="67"/>
    </row>
    <row r="181">
      <c r="A181" s="39"/>
      <c r="B181" s="67"/>
      <c r="C181" s="67"/>
    </row>
    <row r="182">
      <c r="A182" s="39"/>
      <c r="B182" s="67"/>
      <c r="C182" s="67"/>
    </row>
    <row r="183">
      <c r="A183" s="39"/>
      <c r="B183" s="67"/>
      <c r="C183" s="67"/>
    </row>
    <row r="184">
      <c r="A184" s="39"/>
      <c r="B184" s="67"/>
      <c r="C184" s="67"/>
    </row>
    <row r="185">
      <c r="A185" s="39"/>
      <c r="B185" s="67"/>
      <c r="C185" s="67"/>
    </row>
    <row r="186">
      <c r="A186" s="39"/>
      <c r="B186" s="67"/>
      <c r="C186" s="67"/>
    </row>
    <row r="187">
      <c r="A187" s="39"/>
      <c r="B187" s="67"/>
      <c r="C187" s="67"/>
    </row>
    <row r="188">
      <c r="A188" s="39"/>
      <c r="B188" s="67"/>
      <c r="C188" s="67"/>
    </row>
    <row r="189">
      <c r="A189" s="39"/>
      <c r="B189" s="67"/>
      <c r="C189" s="67"/>
    </row>
    <row r="190">
      <c r="A190" s="39"/>
      <c r="B190" s="67"/>
      <c r="C190" s="67"/>
    </row>
    <row r="191">
      <c r="A191" s="39"/>
      <c r="B191" s="67"/>
      <c r="C191" s="67"/>
    </row>
    <row r="192">
      <c r="A192" s="39"/>
      <c r="B192" s="67"/>
      <c r="C192" s="67"/>
    </row>
    <row r="193">
      <c r="A193" s="39"/>
      <c r="B193" s="67"/>
      <c r="C193" s="67"/>
    </row>
    <row r="194">
      <c r="A194" s="39"/>
      <c r="B194" s="67"/>
      <c r="C194" s="67"/>
    </row>
    <row r="195">
      <c r="A195" s="39"/>
      <c r="B195" s="67"/>
      <c r="C195" s="67"/>
    </row>
    <row r="196">
      <c r="A196" s="39"/>
      <c r="B196" s="67"/>
      <c r="C196" s="67"/>
    </row>
    <row r="197">
      <c r="A197" s="39"/>
      <c r="B197" s="67"/>
      <c r="C197" s="67"/>
    </row>
    <row r="198">
      <c r="A198" s="39"/>
      <c r="B198" s="67"/>
      <c r="C198" s="67"/>
    </row>
    <row r="199">
      <c r="A199" s="39"/>
      <c r="B199" s="67"/>
      <c r="C199" s="67"/>
    </row>
    <row r="200">
      <c r="A200" s="39"/>
      <c r="B200" s="67"/>
      <c r="C200" s="67"/>
    </row>
    <row r="201">
      <c r="A201" s="39"/>
      <c r="B201" s="67"/>
      <c r="C201" s="67"/>
    </row>
    <row r="202">
      <c r="A202" s="39"/>
      <c r="B202" s="67"/>
      <c r="C202" s="67"/>
    </row>
    <row r="203">
      <c r="A203" s="39"/>
      <c r="B203" s="67"/>
      <c r="C203" s="67"/>
    </row>
    <row r="204">
      <c r="A204" s="39"/>
      <c r="B204" s="67"/>
      <c r="C204" s="67"/>
    </row>
    <row r="205">
      <c r="A205" s="39"/>
      <c r="B205" s="67"/>
      <c r="C205" s="67"/>
    </row>
    <row r="206">
      <c r="A206" s="39"/>
      <c r="B206" s="67"/>
      <c r="C206" s="67"/>
    </row>
    <row r="207">
      <c r="A207" s="39"/>
      <c r="B207" s="67"/>
      <c r="C207" s="67"/>
    </row>
    <row r="208">
      <c r="A208" s="39"/>
      <c r="B208" s="67"/>
      <c r="C208" s="67"/>
    </row>
    <row r="209">
      <c r="A209" s="39"/>
      <c r="B209" s="67"/>
      <c r="C209" s="67"/>
    </row>
    <row r="210">
      <c r="A210" s="39"/>
      <c r="B210" s="67"/>
      <c r="C210" s="67"/>
    </row>
    <row r="211">
      <c r="A211" s="39"/>
      <c r="B211" s="67"/>
      <c r="C211" s="67"/>
    </row>
    <row r="212">
      <c r="A212" s="39"/>
      <c r="B212" s="67"/>
      <c r="C212" s="67"/>
    </row>
    <row r="213">
      <c r="A213" s="39"/>
      <c r="B213" s="67"/>
      <c r="C213" s="67"/>
    </row>
    <row r="214">
      <c r="A214" s="39"/>
      <c r="B214" s="67"/>
      <c r="C214" s="67"/>
    </row>
    <row r="215">
      <c r="A215" s="39"/>
      <c r="B215" s="67"/>
      <c r="C215" s="67"/>
    </row>
    <row r="216">
      <c r="A216" s="39"/>
      <c r="B216" s="67"/>
      <c r="C216" s="67"/>
    </row>
    <row r="217">
      <c r="A217" s="39"/>
      <c r="B217" s="67"/>
      <c r="C217" s="67"/>
    </row>
    <row r="218">
      <c r="A218" s="39"/>
      <c r="B218" s="67"/>
      <c r="C218" s="67"/>
    </row>
    <row r="219">
      <c r="A219" s="39"/>
      <c r="B219" s="67"/>
      <c r="C219" s="67"/>
    </row>
    <row r="220">
      <c r="A220" s="39"/>
      <c r="B220" s="67"/>
      <c r="C220" s="67"/>
    </row>
    <row r="221">
      <c r="A221" s="39"/>
      <c r="B221" s="67"/>
      <c r="C221" s="67"/>
    </row>
    <row r="222">
      <c r="A222" s="39"/>
      <c r="B222" s="67"/>
      <c r="C222" s="67"/>
    </row>
    <row r="223">
      <c r="A223" s="39"/>
      <c r="B223" s="67"/>
      <c r="C223" s="67"/>
    </row>
    <row r="224">
      <c r="A224" s="39"/>
      <c r="B224" s="67"/>
      <c r="C224" s="67"/>
    </row>
    <row r="225">
      <c r="A225" s="39"/>
      <c r="B225" s="67"/>
      <c r="C225" s="67"/>
    </row>
    <row r="226">
      <c r="A226" s="39"/>
      <c r="B226" s="67"/>
      <c r="C226" s="67"/>
    </row>
    <row r="227">
      <c r="A227" s="39"/>
      <c r="B227" s="67"/>
      <c r="C227" s="67"/>
    </row>
    <row r="228">
      <c r="A228" s="39"/>
      <c r="B228" s="67"/>
      <c r="C228" s="67"/>
    </row>
    <row r="229">
      <c r="A229" s="39"/>
      <c r="B229" s="67"/>
      <c r="C229" s="67"/>
    </row>
    <row r="230">
      <c r="A230" s="39"/>
      <c r="B230" s="67"/>
      <c r="C230" s="67"/>
    </row>
    <row r="231">
      <c r="A231" s="39"/>
      <c r="B231" s="67"/>
      <c r="C231" s="67"/>
    </row>
    <row r="232">
      <c r="A232" s="39"/>
      <c r="B232" s="67"/>
      <c r="C232" s="67"/>
    </row>
    <row r="233">
      <c r="A233" s="39"/>
      <c r="B233" s="67"/>
      <c r="C233" s="67"/>
    </row>
    <row r="234">
      <c r="A234" s="39"/>
      <c r="B234" s="67"/>
      <c r="C234" s="67"/>
    </row>
    <row r="235">
      <c r="A235" s="39"/>
      <c r="B235" s="67"/>
      <c r="C235" s="67"/>
    </row>
    <row r="236">
      <c r="A236" s="39"/>
      <c r="B236" s="67"/>
      <c r="C236" s="67"/>
    </row>
    <row r="237">
      <c r="A237" s="39"/>
      <c r="B237" s="67"/>
      <c r="C237" s="67"/>
    </row>
    <row r="238">
      <c r="A238" s="39"/>
      <c r="B238" s="67"/>
      <c r="C238" s="67"/>
    </row>
    <row r="239">
      <c r="A239" s="39"/>
      <c r="B239" s="67"/>
      <c r="C239" s="67"/>
    </row>
    <row r="240">
      <c r="A240" s="39"/>
      <c r="B240" s="67"/>
      <c r="C240" s="67"/>
    </row>
    <row r="241">
      <c r="A241" s="39"/>
      <c r="B241" s="67"/>
      <c r="C241" s="67"/>
    </row>
    <row r="242">
      <c r="A242" s="39"/>
      <c r="B242" s="67"/>
      <c r="C242" s="67"/>
    </row>
    <row r="243">
      <c r="A243" s="39"/>
      <c r="B243" s="67"/>
      <c r="C243" s="67"/>
    </row>
    <row r="244">
      <c r="A244" s="39"/>
      <c r="B244" s="67"/>
      <c r="C244" s="67"/>
    </row>
    <row r="245">
      <c r="A245" s="39"/>
      <c r="B245" s="67"/>
      <c r="C245" s="67"/>
    </row>
    <row r="246">
      <c r="A246" s="39"/>
      <c r="B246" s="67"/>
      <c r="C246" s="67"/>
    </row>
    <row r="247">
      <c r="A247" s="39"/>
      <c r="B247" s="67"/>
      <c r="C247" s="67"/>
    </row>
    <row r="248">
      <c r="A248" s="39"/>
      <c r="B248" s="67"/>
      <c r="C248" s="67"/>
    </row>
    <row r="249">
      <c r="A249" s="39"/>
      <c r="B249" s="67"/>
      <c r="C249" s="67"/>
    </row>
    <row r="250">
      <c r="A250" s="39"/>
      <c r="B250" s="67"/>
      <c r="C250" s="67"/>
    </row>
    <row r="251">
      <c r="A251" s="39"/>
      <c r="B251" s="67"/>
      <c r="C251" s="67"/>
    </row>
    <row r="252">
      <c r="A252" s="39"/>
      <c r="B252" s="67"/>
      <c r="C252" s="67"/>
    </row>
    <row r="253">
      <c r="A253" s="39"/>
      <c r="B253" s="67"/>
      <c r="C253" s="67"/>
    </row>
    <row r="254">
      <c r="A254" s="39"/>
      <c r="B254" s="67"/>
      <c r="C254" s="67"/>
    </row>
    <row r="255">
      <c r="A255" s="39"/>
      <c r="B255" s="67"/>
      <c r="C255" s="67"/>
    </row>
    <row r="256">
      <c r="A256" s="39"/>
      <c r="B256" s="67"/>
      <c r="C256" s="67"/>
    </row>
    <row r="257">
      <c r="A257" s="39"/>
      <c r="B257" s="67"/>
      <c r="C257" s="67"/>
    </row>
    <row r="258">
      <c r="A258" s="14"/>
      <c r="B258" s="67"/>
      <c r="C258" s="67"/>
    </row>
    <row r="259">
      <c r="A259" s="14"/>
      <c r="B259" s="67"/>
      <c r="C259" s="67"/>
    </row>
    <row r="260">
      <c r="A260" s="14"/>
      <c r="B260" s="67"/>
      <c r="C260" s="67"/>
    </row>
    <row r="261">
      <c r="A261" s="14"/>
      <c r="B261" s="67"/>
      <c r="C261" s="67"/>
    </row>
    <row r="262">
      <c r="A262" s="14"/>
      <c r="B262" s="67"/>
      <c r="C262" s="67"/>
    </row>
    <row r="263">
      <c r="A263" s="14"/>
      <c r="B263" s="67"/>
      <c r="C263" s="67"/>
    </row>
    <row r="264">
      <c r="A264" s="14"/>
      <c r="B264" s="67"/>
      <c r="C264" s="67"/>
    </row>
    <row r="265">
      <c r="A265" s="14"/>
      <c r="B265" s="67"/>
      <c r="C265" s="67"/>
    </row>
    <row r="266">
      <c r="A266" s="14"/>
      <c r="B266" s="67"/>
      <c r="C266" s="67"/>
    </row>
    <row r="267">
      <c r="A267" s="14"/>
      <c r="B267" s="67"/>
      <c r="C267" s="67"/>
    </row>
    <row r="268">
      <c r="A268" s="14"/>
      <c r="B268" s="67"/>
      <c r="C268" s="67"/>
    </row>
    <row r="269">
      <c r="A269" s="14"/>
      <c r="B269" s="67"/>
      <c r="C269" s="67"/>
    </row>
    <row r="270">
      <c r="A270" s="14"/>
      <c r="B270" s="67"/>
      <c r="C270" s="67"/>
    </row>
    <row r="271">
      <c r="A271" s="14"/>
      <c r="B271" s="67"/>
      <c r="C271" s="67"/>
    </row>
    <row r="272">
      <c r="A272" s="14"/>
      <c r="B272" s="67"/>
      <c r="C272" s="67"/>
    </row>
    <row r="273">
      <c r="A273" s="14"/>
      <c r="B273" s="67"/>
      <c r="C273" s="67"/>
    </row>
    <row r="274">
      <c r="A274" s="14"/>
      <c r="B274" s="67"/>
      <c r="C274" s="67"/>
    </row>
    <row r="275">
      <c r="A275" s="14"/>
      <c r="B275" s="67"/>
      <c r="C275" s="67"/>
    </row>
    <row r="276">
      <c r="A276" s="14"/>
      <c r="B276" s="67"/>
      <c r="C276" s="67"/>
    </row>
    <row r="277">
      <c r="A277" s="14"/>
      <c r="B277" s="67"/>
      <c r="C277" s="67"/>
    </row>
    <row r="278">
      <c r="A278" s="14"/>
      <c r="B278" s="67"/>
      <c r="C278" s="67"/>
    </row>
    <row r="279">
      <c r="A279" s="14"/>
      <c r="B279" s="67"/>
      <c r="C279" s="67"/>
    </row>
    <row r="280">
      <c r="A280" s="14"/>
      <c r="B280" s="67"/>
      <c r="C280" s="67"/>
    </row>
    <row r="281">
      <c r="A281" s="14"/>
      <c r="B281" s="67"/>
      <c r="C281" s="67"/>
    </row>
    <row r="282">
      <c r="A282" s="14"/>
      <c r="B282" s="67"/>
      <c r="C282" s="67"/>
    </row>
    <row r="283">
      <c r="A283" s="14"/>
      <c r="B283" s="67"/>
      <c r="C283" s="67"/>
    </row>
    <row r="284">
      <c r="A284" s="14"/>
      <c r="B284" s="67"/>
      <c r="C284" s="67"/>
    </row>
    <row r="285">
      <c r="A285" s="14"/>
      <c r="B285" s="67"/>
      <c r="C285" s="67"/>
    </row>
    <row r="286">
      <c r="A286" s="14"/>
      <c r="B286" s="67"/>
      <c r="C286" s="67"/>
    </row>
    <row r="287">
      <c r="A287" s="14"/>
      <c r="B287" s="67"/>
      <c r="C287" s="67"/>
    </row>
    <row r="288">
      <c r="A288" s="14"/>
      <c r="B288" s="67"/>
      <c r="C288" s="67"/>
    </row>
    <row r="289">
      <c r="A289" s="14"/>
      <c r="B289" s="67"/>
      <c r="C289" s="67"/>
    </row>
    <row r="290">
      <c r="A290" s="14"/>
      <c r="B290" s="67"/>
      <c r="C290" s="67"/>
    </row>
    <row r="291">
      <c r="A291" s="14"/>
      <c r="B291" s="67"/>
      <c r="C291" s="67"/>
    </row>
    <row r="292">
      <c r="A292" s="14"/>
      <c r="B292" s="67"/>
      <c r="C292" s="67"/>
    </row>
    <row r="293">
      <c r="A293" s="14"/>
      <c r="B293" s="67"/>
      <c r="C293" s="67"/>
    </row>
    <row r="294">
      <c r="A294" s="14"/>
      <c r="B294" s="67"/>
      <c r="C294" s="67"/>
    </row>
    <row r="295">
      <c r="A295" s="14"/>
      <c r="B295" s="67"/>
      <c r="C295" s="67"/>
    </row>
    <row r="296">
      <c r="A296" s="14"/>
      <c r="B296" s="67"/>
      <c r="C296" s="67"/>
    </row>
    <row r="297">
      <c r="A297" s="14"/>
      <c r="B297" s="67"/>
      <c r="C297" s="67"/>
    </row>
    <row r="298">
      <c r="A298" s="14"/>
      <c r="B298" s="67"/>
      <c r="C298" s="67"/>
    </row>
    <row r="299">
      <c r="A299" s="14"/>
      <c r="B299" s="67"/>
      <c r="C299" s="67"/>
    </row>
    <row r="300">
      <c r="A300" s="14"/>
      <c r="B300" s="67"/>
      <c r="C300" s="67"/>
    </row>
    <row r="301">
      <c r="A301" s="14"/>
      <c r="B301" s="67"/>
      <c r="C301" s="67"/>
    </row>
    <row r="302">
      <c r="A302" s="14"/>
      <c r="B302" s="67"/>
      <c r="C302" s="67"/>
    </row>
    <row r="303">
      <c r="A303" s="14"/>
      <c r="B303" s="67"/>
      <c r="C303" s="67"/>
    </row>
    <row r="304">
      <c r="A304" s="14"/>
      <c r="B304" s="67"/>
      <c r="C304" s="67"/>
    </row>
    <row r="305">
      <c r="A305" s="14"/>
      <c r="B305" s="67"/>
      <c r="C305" s="67"/>
    </row>
    <row r="306">
      <c r="A306" s="14"/>
      <c r="B306" s="67"/>
      <c r="C306" s="67"/>
    </row>
    <row r="307">
      <c r="A307" s="14"/>
      <c r="B307" s="67"/>
      <c r="C307" s="67"/>
    </row>
    <row r="308">
      <c r="A308" s="14"/>
      <c r="B308" s="67"/>
      <c r="C308" s="67"/>
    </row>
    <row r="309">
      <c r="A309" s="14"/>
      <c r="B309" s="67"/>
      <c r="C309" s="67"/>
    </row>
    <row r="310">
      <c r="A310" s="14"/>
      <c r="B310" s="67"/>
      <c r="C310" s="67"/>
    </row>
    <row r="311">
      <c r="A311" s="14"/>
      <c r="B311" s="67"/>
      <c r="C311" s="67"/>
    </row>
    <row r="312">
      <c r="A312" s="14"/>
      <c r="B312" s="67"/>
      <c r="C312" s="67"/>
    </row>
    <row r="313">
      <c r="A313" s="14"/>
      <c r="B313" s="67"/>
      <c r="C313" s="67"/>
    </row>
    <row r="314">
      <c r="A314" s="14"/>
      <c r="B314" s="67"/>
      <c r="C314" s="67"/>
    </row>
    <row r="315">
      <c r="A315" s="14"/>
      <c r="B315" s="67"/>
      <c r="C315" s="67"/>
    </row>
    <row r="316">
      <c r="A316" s="14"/>
      <c r="B316" s="67"/>
      <c r="C316" s="67"/>
    </row>
    <row r="317">
      <c r="A317" s="14"/>
      <c r="B317" s="67"/>
      <c r="C317" s="67"/>
    </row>
    <row r="318">
      <c r="A318" s="14"/>
      <c r="B318" s="67"/>
      <c r="C318" s="67"/>
    </row>
    <row r="319">
      <c r="A319" s="14"/>
      <c r="B319" s="67"/>
      <c r="C319" s="67"/>
    </row>
    <row r="320">
      <c r="A320" s="14"/>
      <c r="B320" s="67"/>
      <c r="C320" s="67"/>
    </row>
    <row r="321">
      <c r="A321" s="14"/>
      <c r="B321" s="67"/>
      <c r="C321" s="67"/>
    </row>
    <row r="322">
      <c r="A322" s="14"/>
      <c r="B322" s="67"/>
      <c r="C322" s="67"/>
    </row>
    <row r="323">
      <c r="A323" s="14"/>
      <c r="B323" s="67"/>
      <c r="C323" s="67"/>
    </row>
    <row r="324">
      <c r="A324" s="14"/>
      <c r="B324" s="67"/>
      <c r="C324" s="67"/>
    </row>
    <row r="325">
      <c r="A325" s="14"/>
      <c r="B325" s="67"/>
      <c r="C325" s="67"/>
    </row>
    <row r="326">
      <c r="A326" s="14"/>
      <c r="B326" s="67"/>
      <c r="C326" s="67"/>
    </row>
    <row r="327">
      <c r="A327" s="14"/>
      <c r="B327" s="67"/>
      <c r="C327" s="67"/>
    </row>
    <row r="328">
      <c r="A328" s="14"/>
      <c r="B328" s="67"/>
      <c r="C328" s="67"/>
    </row>
    <row r="329">
      <c r="A329" s="14"/>
      <c r="B329" s="67"/>
      <c r="C329" s="67"/>
    </row>
    <row r="330">
      <c r="A330" s="14"/>
      <c r="B330" s="67"/>
      <c r="C330" s="67"/>
    </row>
    <row r="331">
      <c r="A331" s="14"/>
      <c r="B331" s="67"/>
      <c r="C331" s="67"/>
    </row>
    <row r="332">
      <c r="A332" s="14"/>
      <c r="B332" s="67"/>
      <c r="C332" s="67"/>
    </row>
    <row r="333">
      <c r="A333" s="14"/>
      <c r="B333" s="67"/>
      <c r="C333" s="67"/>
    </row>
    <row r="334">
      <c r="A334" s="14"/>
      <c r="B334" s="67"/>
      <c r="C334" s="67"/>
    </row>
    <row r="335">
      <c r="A335" s="14"/>
      <c r="B335" s="67"/>
      <c r="C335" s="67"/>
    </row>
    <row r="336">
      <c r="A336" s="14"/>
      <c r="B336" s="67"/>
      <c r="C336" s="67"/>
    </row>
    <row r="337">
      <c r="A337" s="14"/>
      <c r="B337" s="67"/>
      <c r="C337" s="67"/>
    </row>
    <row r="338">
      <c r="A338" s="14"/>
      <c r="B338" s="67"/>
      <c r="C338" s="67"/>
    </row>
    <row r="339">
      <c r="A339" s="14"/>
      <c r="B339" s="67"/>
      <c r="C339" s="67"/>
    </row>
    <row r="340">
      <c r="A340" s="14"/>
      <c r="B340" s="67"/>
      <c r="C340" s="67"/>
    </row>
    <row r="341">
      <c r="A341" s="14"/>
      <c r="B341" s="67"/>
      <c r="C341" s="67"/>
    </row>
    <row r="342">
      <c r="A342" s="14"/>
      <c r="B342" s="67"/>
      <c r="C342" s="67"/>
    </row>
    <row r="343">
      <c r="A343" s="14"/>
      <c r="B343" s="67"/>
      <c r="C343" s="67"/>
    </row>
    <row r="344">
      <c r="A344" s="14"/>
      <c r="B344" s="67"/>
      <c r="C344" s="67"/>
    </row>
    <row r="345">
      <c r="A345" s="14"/>
      <c r="B345" s="67"/>
      <c r="C345" s="67"/>
    </row>
    <row r="346">
      <c r="A346" s="14"/>
      <c r="B346" s="67"/>
      <c r="C346" s="67"/>
    </row>
    <row r="347">
      <c r="A347" s="14"/>
      <c r="B347" s="67"/>
      <c r="C347" s="67"/>
    </row>
    <row r="348">
      <c r="A348" s="14"/>
      <c r="B348" s="67"/>
      <c r="C348" s="67"/>
    </row>
    <row r="349">
      <c r="A349" s="14"/>
      <c r="B349" s="67"/>
      <c r="C349" s="67"/>
    </row>
    <row r="350">
      <c r="A350" s="14"/>
      <c r="B350" s="67"/>
      <c r="C350" s="67"/>
    </row>
    <row r="351">
      <c r="A351" s="14"/>
      <c r="B351" s="67"/>
      <c r="C351" s="67"/>
    </row>
    <row r="352">
      <c r="A352" s="14"/>
      <c r="B352" s="67"/>
      <c r="C352" s="67"/>
    </row>
    <row r="353">
      <c r="A353" s="14"/>
      <c r="B353" s="67"/>
      <c r="C353" s="67"/>
    </row>
    <row r="354">
      <c r="A354" s="14"/>
      <c r="B354" s="67"/>
      <c r="C354" s="67"/>
    </row>
    <row r="355">
      <c r="A355" s="14"/>
      <c r="B355" s="67"/>
      <c r="C355" s="67"/>
    </row>
    <row r="356">
      <c r="A356" s="14"/>
      <c r="B356" s="67"/>
      <c r="C356" s="67"/>
    </row>
    <row r="357">
      <c r="A357" s="14"/>
      <c r="B357" s="67"/>
      <c r="C357" s="67"/>
    </row>
    <row r="358">
      <c r="A358" s="14"/>
      <c r="B358" s="67"/>
      <c r="C358" s="67"/>
    </row>
    <row r="359">
      <c r="A359" s="14"/>
      <c r="B359" s="67"/>
      <c r="C359" s="67"/>
    </row>
    <row r="360">
      <c r="A360" s="14"/>
      <c r="B360" s="67"/>
      <c r="C360" s="67"/>
    </row>
    <row r="361">
      <c r="A361" s="14"/>
      <c r="B361" s="67"/>
      <c r="C361" s="67"/>
    </row>
    <row r="362">
      <c r="A362" s="14"/>
      <c r="B362" s="67"/>
      <c r="C362" s="67"/>
    </row>
    <row r="363">
      <c r="A363" s="14"/>
      <c r="B363" s="67"/>
      <c r="C363" s="67"/>
    </row>
    <row r="364">
      <c r="A364" s="14"/>
      <c r="B364" s="67"/>
      <c r="C364" s="67"/>
    </row>
    <row r="365">
      <c r="A365" s="14"/>
      <c r="B365" s="67"/>
      <c r="C365" s="67"/>
    </row>
    <row r="366">
      <c r="A366" s="14"/>
      <c r="B366" s="67"/>
      <c r="C366" s="67"/>
    </row>
    <row r="367">
      <c r="A367" s="14"/>
      <c r="B367" s="67"/>
      <c r="C367" s="67"/>
    </row>
    <row r="368">
      <c r="A368" s="14"/>
      <c r="B368" s="67"/>
      <c r="C368" s="67"/>
    </row>
    <row r="369">
      <c r="A369" s="14"/>
      <c r="B369" s="67"/>
      <c r="C369" s="67"/>
    </row>
    <row r="370">
      <c r="A370" s="14"/>
      <c r="B370" s="67"/>
      <c r="C370" s="67"/>
    </row>
    <row r="371">
      <c r="A371" s="14"/>
      <c r="B371" s="67"/>
      <c r="C371" s="67"/>
    </row>
    <row r="372">
      <c r="A372" s="14"/>
      <c r="B372" s="67"/>
      <c r="C372" s="67"/>
    </row>
    <row r="373">
      <c r="A373" s="14"/>
      <c r="B373" s="67"/>
      <c r="C373" s="67"/>
    </row>
    <row r="374">
      <c r="A374" s="14"/>
      <c r="B374" s="67"/>
      <c r="C374" s="67"/>
    </row>
    <row r="375">
      <c r="A375" s="14"/>
      <c r="B375" s="67"/>
      <c r="C375" s="67"/>
    </row>
    <row r="376">
      <c r="A376" s="14"/>
      <c r="B376" s="67"/>
      <c r="C376" s="67"/>
    </row>
    <row r="377">
      <c r="A377" s="14"/>
      <c r="B377" s="67"/>
      <c r="C377" s="67"/>
    </row>
    <row r="378">
      <c r="A378" s="14"/>
      <c r="B378" s="67"/>
      <c r="C378" s="67"/>
    </row>
    <row r="379">
      <c r="A379" s="14"/>
      <c r="B379" s="67"/>
      <c r="C379" s="67"/>
    </row>
    <row r="380">
      <c r="A380" s="14"/>
      <c r="B380" s="67"/>
      <c r="C380" s="67"/>
    </row>
    <row r="381">
      <c r="A381" s="14"/>
      <c r="B381" s="67"/>
      <c r="C381" s="67"/>
    </row>
    <row r="382">
      <c r="A382" s="14"/>
      <c r="B382" s="67"/>
      <c r="C382" s="67"/>
    </row>
    <row r="383">
      <c r="A383" s="14"/>
      <c r="B383" s="67"/>
      <c r="C383" s="67"/>
    </row>
    <row r="384">
      <c r="A384" s="14"/>
      <c r="B384" s="67"/>
      <c r="C384" s="67"/>
    </row>
    <row r="385">
      <c r="A385" s="14"/>
      <c r="B385" s="67"/>
      <c r="C385" s="67"/>
    </row>
    <row r="386">
      <c r="A386" s="14"/>
      <c r="B386" s="67"/>
      <c r="C386" s="67"/>
    </row>
    <row r="387">
      <c r="A387" s="14"/>
      <c r="B387" s="67"/>
      <c r="C387" s="67"/>
    </row>
    <row r="388">
      <c r="A388" s="14"/>
      <c r="B388" s="67"/>
      <c r="C388" s="67"/>
    </row>
    <row r="389">
      <c r="A389" s="14"/>
      <c r="B389" s="67"/>
      <c r="C389" s="67"/>
    </row>
    <row r="390">
      <c r="A390" s="14"/>
      <c r="B390" s="67"/>
      <c r="C390" s="67"/>
    </row>
    <row r="391">
      <c r="A391" s="14"/>
      <c r="B391" s="67"/>
      <c r="C391" s="67"/>
    </row>
    <row r="392">
      <c r="A392" s="14"/>
      <c r="B392" s="67"/>
      <c r="C392" s="67"/>
    </row>
    <row r="393">
      <c r="A393" s="14"/>
      <c r="B393" s="67"/>
      <c r="C393" s="67"/>
    </row>
    <row r="394">
      <c r="A394" s="14"/>
      <c r="B394" s="67"/>
      <c r="C394" s="67"/>
    </row>
    <row r="395">
      <c r="A395" s="14"/>
      <c r="B395" s="67"/>
      <c r="C395" s="67"/>
    </row>
    <row r="396">
      <c r="A396" s="14"/>
      <c r="B396" s="67"/>
      <c r="C396" s="67"/>
    </row>
    <row r="397">
      <c r="A397" s="14"/>
      <c r="B397" s="67"/>
      <c r="C397" s="67"/>
    </row>
    <row r="398">
      <c r="A398" s="14"/>
      <c r="B398" s="67"/>
      <c r="C398" s="67"/>
    </row>
    <row r="399">
      <c r="A399" s="14"/>
      <c r="B399" s="67"/>
      <c r="C399" s="67"/>
    </row>
    <row r="400">
      <c r="A400" s="14"/>
      <c r="B400" s="67"/>
      <c r="C400" s="67"/>
    </row>
    <row r="401">
      <c r="A401" s="14"/>
      <c r="B401" s="67"/>
      <c r="C401" s="67"/>
    </row>
    <row r="402">
      <c r="A402" s="14"/>
      <c r="B402" s="67"/>
      <c r="C402" s="67"/>
    </row>
    <row r="403">
      <c r="A403" s="14"/>
      <c r="B403" s="67"/>
      <c r="C403" s="67"/>
    </row>
    <row r="404">
      <c r="A404" s="14"/>
      <c r="B404" s="67"/>
      <c r="C404" s="67"/>
    </row>
    <row r="405">
      <c r="A405" s="14"/>
      <c r="B405" s="67"/>
      <c r="C405" s="67"/>
    </row>
    <row r="406">
      <c r="A406" s="14"/>
      <c r="B406" s="67"/>
      <c r="C406" s="67"/>
    </row>
    <row r="407">
      <c r="A407" s="14"/>
      <c r="B407" s="67"/>
      <c r="C407" s="67"/>
    </row>
    <row r="408">
      <c r="A408" s="14"/>
      <c r="B408" s="67"/>
      <c r="C408" s="67"/>
    </row>
    <row r="409">
      <c r="A409" s="14"/>
      <c r="B409" s="67"/>
      <c r="C409" s="67"/>
    </row>
    <row r="410">
      <c r="A410" s="14"/>
      <c r="B410" s="67"/>
      <c r="C410" s="67"/>
    </row>
    <row r="411">
      <c r="A411" s="14"/>
      <c r="B411" s="67"/>
      <c r="C411" s="67"/>
    </row>
    <row r="412">
      <c r="A412" s="14"/>
      <c r="B412" s="67"/>
      <c r="C412" s="67"/>
    </row>
    <row r="413">
      <c r="A413" s="14"/>
      <c r="B413" s="67"/>
      <c r="C413" s="67"/>
    </row>
    <row r="414">
      <c r="A414" s="14"/>
      <c r="B414" s="67"/>
      <c r="C414" s="67"/>
    </row>
    <row r="415">
      <c r="A415" s="14"/>
      <c r="B415" s="67"/>
      <c r="C415" s="67"/>
    </row>
    <row r="416">
      <c r="A416" s="14"/>
      <c r="B416" s="67"/>
      <c r="C416" s="67"/>
    </row>
    <row r="417">
      <c r="A417" s="14"/>
      <c r="B417" s="67"/>
      <c r="C417" s="67"/>
    </row>
    <row r="418">
      <c r="A418" s="14"/>
      <c r="B418" s="67"/>
      <c r="C418" s="67"/>
    </row>
    <row r="419">
      <c r="A419" s="14"/>
      <c r="B419" s="67"/>
      <c r="C419" s="67"/>
    </row>
    <row r="420">
      <c r="A420" s="14"/>
      <c r="B420" s="67"/>
      <c r="C420" s="67"/>
    </row>
    <row r="421">
      <c r="A421" s="14"/>
      <c r="B421" s="67"/>
      <c r="C421" s="67"/>
    </row>
    <row r="422">
      <c r="A422" s="14"/>
      <c r="B422" s="67"/>
      <c r="C422" s="67"/>
    </row>
    <row r="423">
      <c r="A423" s="14"/>
      <c r="B423" s="67"/>
      <c r="C423" s="67"/>
    </row>
    <row r="424">
      <c r="A424" s="14"/>
      <c r="B424" s="67"/>
      <c r="C424" s="67"/>
    </row>
    <row r="425">
      <c r="A425" s="14"/>
      <c r="B425" s="67"/>
      <c r="C425" s="67"/>
    </row>
    <row r="426">
      <c r="A426" s="14"/>
      <c r="B426" s="67"/>
      <c r="C426" s="67"/>
    </row>
    <row r="427">
      <c r="A427" s="14"/>
      <c r="B427" s="67"/>
      <c r="C427" s="67"/>
    </row>
    <row r="428">
      <c r="A428" s="14"/>
      <c r="B428" s="67"/>
      <c r="C428" s="67"/>
    </row>
    <row r="429">
      <c r="A429" s="14"/>
      <c r="B429" s="67"/>
      <c r="C429" s="67"/>
    </row>
    <row r="430">
      <c r="A430" s="14"/>
      <c r="B430" s="67"/>
      <c r="C430" s="67"/>
    </row>
    <row r="431">
      <c r="A431" s="14"/>
      <c r="B431" s="67"/>
      <c r="C431" s="67"/>
    </row>
    <row r="432">
      <c r="A432" s="14"/>
      <c r="B432" s="67"/>
      <c r="C432" s="67"/>
    </row>
    <row r="433">
      <c r="A433" s="14"/>
      <c r="B433" s="67"/>
      <c r="C433" s="67"/>
    </row>
    <row r="434">
      <c r="A434" s="14"/>
      <c r="B434" s="67"/>
      <c r="C434" s="67"/>
    </row>
    <row r="435">
      <c r="A435" s="14"/>
      <c r="B435" s="67"/>
      <c r="C435" s="67"/>
    </row>
    <row r="436">
      <c r="A436" s="14"/>
      <c r="B436" s="67"/>
      <c r="C436" s="67"/>
    </row>
    <row r="437">
      <c r="A437" s="14"/>
      <c r="B437" s="67"/>
      <c r="C437" s="67"/>
    </row>
    <row r="438">
      <c r="A438" s="14"/>
      <c r="B438" s="67"/>
      <c r="C438" s="67"/>
    </row>
    <row r="439">
      <c r="A439" s="14"/>
      <c r="B439" s="67"/>
      <c r="C439" s="67"/>
    </row>
    <row r="440">
      <c r="A440" s="14"/>
      <c r="B440" s="67"/>
      <c r="C440" s="67"/>
    </row>
    <row r="441">
      <c r="A441" s="14"/>
      <c r="B441" s="67"/>
      <c r="C441" s="67"/>
    </row>
    <row r="442">
      <c r="A442" s="14"/>
      <c r="B442" s="67"/>
      <c r="C442" s="67"/>
    </row>
    <row r="443">
      <c r="A443" s="14"/>
      <c r="B443" s="67"/>
      <c r="C443" s="67"/>
    </row>
    <row r="444">
      <c r="A444" s="14"/>
      <c r="B444" s="67"/>
      <c r="C444" s="67"/>
    </row>
    <row r="445">
      <c r="A445" s="14"/>
      <c r="B445" s="67"/>
      <c r="C445" s="67"/>
    </row>
    <row r="446">
      <c r="A446" s="14"/>
      <c r="B446" s="67"/>
      <c r="C446" s="67"/>
    </row>
    <row r="447">
      <c r="A447" s="14"/>
      <c r="B447" s="67"/>
      <c r="C447" s="67"/>
    </row>
    <row r="448">
      <c r="A448" s="14"/>
      <c r="B448" s="67"/>
      <c r="C448" s="67"/>
    </row>
    <row r="449">
      <c r="A449" s="14"/>
      <c r="B449" s="67"/>
      <c r="C449" s="67"/>
    </row>
    <row r="450">
      <c r="A450" s="14"/>
      <c r="B450" s="67"/>
      <c r="C450" s="67"/>
    </row>
    <row r="451">
      <c r="A451" s="14"/>
      <c r="B451" s="67"/>
      <c r="C451" s="67"/>
    </row>
    <row r="452">
      <c r="A452" s="14"/>
      <c r="B452" s="67"/>
      <c r="C452" s="67"/>
    </row>
    <row r="453">
      <c r="A453" s="14"/>
      <c r="B453" s="67"/>
      <c r="C453" s="67"/>
    </row>
    <row r="454">
      <c r="A454" s="14"/>
      <c r="B454" s="67"/>
      <c r="C454" s="67"/>
    </row>
    <row r="455">
      <c r="A455" s="14"/>
      <c r="B455" s="67"/>
      <c r="C455" s="67"/>
    </row>
    <row r="456">
      <c r="A456" s="14"/>
      <c r="B456" s="67"/>
      <c r="C456" s="67"/>
    </row>
    <row r="457">
      <c r="A457" s="14"/>
      <c r="B457" s="67"/>
      <c r="C457" s="67"/>
    </row>
    <row r="458">
      <c r="A458" s="14"/>
      <c r="B458" s="67"/>
      <c r="C458" s="67"/>
    </row>
    <row r="459">
      <c r="A459" s="14"/>
      <c r="B459" s="67"/>
      <c r="C459" s="67"/>
    </row>
    <row r="460">
      <c r="A460" s="14"/>
      <c r="B460" s="67"/>
      <c r="C460" s="67"/>
    </row>
    <row r="461">
      <c r="A461" s="14"/>
      <c r="B461" s="67"/>
      <c r="C461" s="67"/>
    </row>
    <row r="462">
      <c r="A462" s="14"/>
      <c r="B462" s="67"/>
      <c r="C462" s="67"/>
    </row>
    <row r="463">
      <c r="A463" s="14"/>
      <c r="B463" s="67"/>
      <c r="C463" s="67"/>
    </row>
    <row r="464">
      <c r="A464" s="14"/>
      <c r="B464" s="67"/>
      <c r="C464" s="67"/>
    </row>
    <row r="465">
      <c r="A465" s="14"/>
      <c r="B465" s="67"/>
      <c r="C465" s="67"/>
    </row>
    <row r="466">
      <c r="A466" s="14"/>
      <c r="B466" s="67"/>
      <c r="C466" s="67"/>
    </row>
    <row r="467">
      <c r="A467" s="14"/>
      <c r="B467" s="67"/>
      <c r="C467" s="67"/>
    </row>
    <row r="468">
      <c r="A468" s="14"/>
      <c r="B468" s="67"/>
      <c r="C468" s="67"/>
    </row>
    <row r="469">
      <c r="A469" s="14"/>
      <c r="B469" s="67"/>
      <c r="C469" s="67"/>
    </row>
    <row r="470">
      <c r="A470" s="14"/>
      <c r="B470" s="67"/>
      <c r="C470" s="67"/>
    </row>
    <row r="471">
      <c r="A471" s="14"/>
      <c r="B471" s="67"/>
      <c r="C471" s="67"/>
    </row>
    <row r="472">
      <c r="A472" s="14"/>
      <c r="B472" s="67"/>
      <c r="C472" s="67"/>
    </row>
    <row r="473">
      <c r="A473" s="14"/>
      <c r="B473" s="67"/>
      <c r="C473" s="67"/>
    </row>
    <row r="474">
      <c r="A474" s="14"/>
      <c r="B474" s="67"/>
      <c r="C474" s="67"/>
    </row>
    <row r="475">
      <c r="A475" s="14"/>
      <c r="B475" s="67"/>
      <c r="C475" s="67"/>
    </row>
    <row r="476">
      <c r="A476" s="14"/>
      <c r="B476" s="67"/>
      <c r="C476" s="67"/>
    </row>
    <row r="477">
      <c r="A477" s="14"/>
      <c r="B477" s="67"/>
      <c r="C477" s="67"/>
    </row>
    <row r="478">
      <c r="A478" s="14"/>
      <c r="B478" s="67"/>
      <c r="C478" s="67"/>
    </row>
    <row r="479">
      <c r="A479" s="14"/>
      <c r="B479" s="67"/>
      <c r="C479" s="67"/>
    </row>
    <row r="480">
      <c r="A480" s="14"/>
      <c r="B480" s="67"/>
      <c r="C480" s="67"/>
    </row>
    <row r="481">
      <c r="A481" s="14"/>
      <c r="B481" s="67"/>
      <c r="C481" s="67"/>
    </row>
    <row r="482">
      <c r="A482" s="14"/>
      <c r="B482" s="67"/>
      <c r="C482" s="67"/>
    </row>
    <row r="483">
      <c r="A483" s="14"/>
      <c r="B483" s="67"/>
      <c r="C483" s="67"/>
    </row>
    <row r="484">
      <c r="A484" s="14"/>
      <c r="B484" s="67"/>
      <c r="C484" s="67"/>
    </row>
    <row r="485">
      <c r="A485" s="14"/>
      <c r="B485" s="67"/>
      <c r="C485" s="67"/>
    </row>
    <row r="486">
      <c r="A486" s="14"/>
      <c r="B486" s="67"/>
      <c r="C486" s="67"/>
    </row>
    <row r="487">
      <c r="A487" s="14"/>
      <c r="B487" s="67"/>
      <c r="C487" s="67"/>
    </row>
    <row r="488">
      <c r="A488" s="14"/>
      <c r="B488" s="67"/>
      <c r="C488" s="67"/>
    </row>
    <row r="489">
      <c r="A489" s="14"/>
      <c r="B489" s="67"/>
      <c r="C489" s="67"/>
    </row>
    <row r="490">
      <c r="A490" s="14"/>
      <c r="B490" s="67"/>
      <c r="C490" s="67"/>
    </row>
    <row r="491">
      <c r="A491" s="14"/>
      <c r="B491" s="67"/>
      <c r="C491" s="67"/>
    </row>
    <row r="492">
      <c r="A492" s="14"/>
      <c r="B492" s="67"/>
      <c r="C492" s="67"/>
    </row>
    <row r="493">
      <c r="A493" s="14"/>
      <c r="B493" s="67"/>
      <c r="C493" s="67"/>
    </row>
    <row r="494">
      <c r="A494" s="14"/>
      <c r="B494" s="67"/>
      <c r="C494" s="67"/>
    </row>
    <row r="495">
      <c r="A495" s="14"/>
      <c r="B495" s="67"/>
      <c r="C495" s="67"/>
    </row>
    <row r="496">
      <c r="A496" s="14"/>
      <c r="B496" s="67"/>
      <c r="C496" s="67"/>
    </row>
    <row r="497">
      <c r="A497" s="14"/>
      <c r="B497" s="67"/>
      <c r="C497" s="67"/>
    </row>
    <row r="498">
      <c r="A498" s="14"/>
      <c r="B498" s="67"/>
      <c r="C498" s="67"/>
    </row>
    <row r="499">
      <c r="A499" s="14"/>
      <c r="B499" s="67"/>
      <c r="C499" s="67"/>
    </row>
    <row r="500">
      <c r="A500" s="14"/>
      <c r="B500" s="67"/>
      <c r="C500" s="67"/>
    </row>
    <row r="501">
      <c r="A501" s="14"/>
      <c r="B501" s="67"/>
      <c r="C501" s="67"/>
    </row>
    <row r="502">
      <c r="A502" s="14"/>
      <c r="B502" s="67"/>
      <c r="C502" s="67"/>
    </row>
    <row r="503">
      <c r="A503" s="14"/>
      <c r="B503" s="67"/>
      <c r="C503" s="67"/>
    </row>
    <row r="504">
      <c r="A504" s="14"/>
      <c r="B504" s="67"/>
      <c r="C504" s="67"/>
    </row>
    <row r="505">
      <c r="A505" s="14"/>
      <c r="B505" s="67"/>
      <c r="C505" s="67"/>
    </row>
    <row r="506">
      <c r="A506" s="14"/>
      <c r="B506" s="67"/>
      <c r="C506" s="67"/>
    </row>
    <row r="507">
      <c r="A507" s="14"/>
      <c r="B507" s="67"/>
      <c r="C507" s="67"/>
    </row>
    <row r="508">
      <c r="A508" s="14"/>
      <c r="B508" s="67"/>
      <c r="C508" s="67"/>
    </row>
    <row r="509">
      <c r="A509" s="14"/>
      <c r="B509" s="67"/>
      <c r="C509" s="67"/>
    </row>
    <row r="510">
      <c r="A510" s="14"/>
      <c r="B510" s="67"/>
      <c r="C510" s="67"/>
    </row>
    <row r="511">
      <c r="A511" s="14"/>
      <c r="B511" s="67"/>
      <c r="C511" s="67"/>
    </row>
    <row r="512">
      <c r="A512" s="14"/>
      <c r="B512" s="67"/>
      <c r="C512" s="67"/>
    </row>
    <row r="513">
      <c r="A513" s="14"/>
      <c r="B513" s="67"/>
      <c r="C513" s="67"/>
    </row>
    <row r="514">
      <c r="A514" s="14"/>
      <c r="B514" s="67"/>
      <c r="C514" s="67"/>
    </row>
    <row r="515">
      <c r="A515" s="14"/>
      <c r="B515" s="67"/>
      <c r="C515" s="67"/>
    </row>
    <row r="516">
      <c r="A516" s="14"/>
      <c r="B516" s="67"/>
      <c r="C516" s="67"/>
    </row>
    <row r="517">
      <c r="A517" s="14"/>
      <c r="B517" s="67"/>
      <c r="C517" s="67"/>
    </row>
    <row r="518">
      <c r="A518" s="14"/>
      <c r="B518" s="67"/>
      <c r="C518" s="67"/>
    </row>
    <row r="519">
      <c r="A519" s="14"/>
      <c r="B519" s="67"/>
      <c r="C519" s="67"/>
    </row>
    <row r="520">
      <c r="A520" s="14"/>
      <c r="B520" s="67"/>
      <c r="C520" s="67"/>
    </row>
    <row r="521">
      <c r="A521" s="14"/>
      <c r="B521" s="67"/>
      <c r="C521" s="67"/>
    </row>
    <row r="522">
      <c r="A522" s="14"/>
      <c r="B522" s="67"/>
      <c r="C522" s="67"/>
    </row>
    <row r="523">
      <c r="A523" s="14"/>
      <c r="B523" s="67"/>
      <c r="C523" s="67"/>
    </row>
    <row r="524">
      <c r="A524" s="14"/>
      <c r="B524" s="67"/>
      <c r="C524" s="67"/>
    </row>
    <row r="525">
      <c r="A525" s="14"/>
      <c r="B525" s="67"/>
      <c r="C525" s="67"/>
    </row>
    <row r="526">
      <c r="A526" s="14"/>
      <c r="B526" s="67"/>
      <c r="C526" s="67"/>
    </row>
    <row r="527">
      <c r="A527" s="14"/>
      <c r="B527" s="67"/>
      <c r="C527" s="67"/>
    </row>
    <row r="528">
      <c r="A528" s="14"/>
      <c r="B528" s="67"/>
      <c r="C528" s="67"/>
    </row>
    <row r="529">
      <c r="A529" s="14"/>
      <c r="B529" s="67"/>
      <c r="C529" s="67"/>
    </row>
    <row r="530">
      <c r="A530" s="14"/>
      <c r="B530" s="67"/>
      <c r="C530" s="67"/>
    </row>
    <row r="531">
      <c r="A531" s="14"/>
      <c r="B531" s="67"/>
      <c r="C531" s="67"/>
    </row>
    <row r="532">
      <c r="A532" s="14"/>
      <c r="B532" s="67"/>
      <c r="C532" s="67"/>
    </row>
    <row r="533">
      <c r="A533" s="14"/>
      <c r="B533" s="67"/>
      <c r="C533" s="67"/>
    </row>
    <row r="534">
      <c r="A534" s="14"/>
      <c r="B534" s="67"/>
      <c r="C534" s="67"/>
    </row>
    <row r="535">
      <c r="A535" s="14"/>
      <c r="B535" s="67"/>
      <c r="C535" s="67"/>
    </row>
    <row r="536">
      <c r="A536" s="14"/>
      <c r="B536" s="67"/>
      <c r="C536" s="67"/>
    </row>
    <row r="537">
      <c r="A537" s="14"/>
      <c r="B537" s="67"/>
      <c r="C537" s="67"/>
    </row>
    <row r="538">
      <c r="A538" s="14"/>
      <c r="B538" s="67"/>
      <c r="C538" s="67"/>
    </row>
    <row r="539">
      <c r="A539" s="14"/>
      <c r="B539" s="67"/>
      <c r="C539" s="67"/>
    </row>
    <row r="540">
      <c r="A540" s="14"/>
      <c r="B540" s="67"/>
      <c r="C540" s="67"/>
    </row>
    <row r="541">
      <c r="A541" s="14"/>
      <c r="B541" s="67"/>
      <c r="C541" s="67"/>
    </row>
    <row r="542">
      <c r="A542" s="14"/>
      <c r="B542" s="67"/>
      <c r="C542" s="67"/>
    </row>
    <row r="543">
      <c r="A543" s="14"/>
      <c r="B543" s="67"/>
      <c r="C543" s="67"/>
    </row>
    <row r="544">
      <c r="A544" s="14"/>
      <c r="B544" s="67"/>
      <c r="C544" s="67"/>
    </row>
    <row r="545">
      <c r="A545" s="14"/>
      <c r="B545" s="67"/>
      <c r="C545" s="67"/>
    </row>
    <row r="546">
      <c r="A546" s="14"/>
      <c r="B546" s="67"/>
      <c r="C546" s="67"/>
    </row>
    <row r="547">
      <c r="A547" s="14"/>
      <c r="B547" s="67"/>
      <c r="C547" s="67"/>
    </row>
    <row r="548">
      <c r="A548" s="14"/>
      <c r="B548" s="67"/>
      <c r="C548" s="67"/>
    </row>
    <row r="549">
      <c r="A549" s="14"/>
      <c r="B549" s="67"/>
      <c r="C549" s="67"/>
    </row>
    <row r="550">
      <c r="A550" s="14"/>
      <c r="B550" s="67"/>
      <c r="C550" s="67"/>
    </row>
    <row r="551">
      <c r="A551" s="14"/>
      <c r="B551" s="67"/>
      <c r="C551" s="67"/>
    </row>
    <row r="552">
      <c r="A552" s="14"/>
      <c r="B552" s="67"/>
      <c r="C552" s="67"/>
    </row>
    <row r="553">
      <c r="A553" s="14"/>
      <c r="B553" s="67"/>
      <c r="C553" s="67"/>
    </row>
    <row r="554">
      <c r="A554" s="14"/>
      <c r="B554" s="67"/>
      <c r="C554" s="67"/>
    </row>
    <row r="555">
      <c r="A555" s="14"/>
      <c r="B555" s="67"/>
      <c r="C555" s="67"/>
    </row>
    <row r="556">
      <c r="A556" s="14"/>
      <c r="B556" s="67"/>
      <c r="C556" s="67"/>
    </row>
    <row r="557">
      <c r="A557" s="14"/>
      <c r="B557" s="67"/>
      <c r="C557" s="67"/>
    </row>
    <row r="558">
      <c r="A558" s="14"/>
      <c r="B558" s="67"/>
      <c r="C558" s="67"/>
    </row>
    <row r="559">
      <c r="A559" s="14"/>
      <c r="B559" s="67"/>
      <c r="C559" s="67"/>
    </row>
    <row r="560">
      <c r="A560" s="14"/>
      <c r="B560" s="67"/>
      <c r="C560" s="67"/>
    </row>
    <row r="561">
      <c r="A561" s="14"/>
      <c r="B561" s="67"/>
      <c r="C561" s="67"/>
    </row>
    <row r="562">
      <c r="A562" s="14"/>
      <c r="B562" s="67"/>
      <c r="C562" s="67"/>
    </row>
    <row r="563">
      <c r="A563" s="14"/>
      <c r="B563" s="67"/>
      <c r="C563" s="67"/>
    </row>
    <row r="564">
      <c r="A564" s="14"/>
      <c r="B564" s="67"/>
      <c r="C564" s="67"/>
    </row>
    <row r="565">
      <c r="A565" s="14"/>
      <c r="B565" s="67"/>
      <c r="C565" s="67"/>
    </row>
    <row r="566">
      <c r="A566" s="14"/>
      <c r="B566" s="67"/>
      <c r="C566" s="67"/>
    </row>
    <row r="567">
      <c r="A567" s="14"/>
      <c r="B567" s="67"/>
      <c r="C567" s="67"/>
    </row>
    <row r="568">
      <c r="A568" s="14"/>
      <c r="B568" s="67"/>
      <c r="C568" s="67"/>
    </row>
    <row r="569">
      <c r="A569" s="14"/>
      <c r="B569" s="67"/>
      <c r="C569" s="67"/>
    </row>
    <row r="570">
      <c r="A570" s="14"/>
      <c r="B570" s="67"/>
      <c r="C570" s="67"/>
    </row>
    <row r="571">
      <c r="A571" s="14"/>
      <c r="B571" s="67"/>
      <c r="C571" s="67"/>
    </row>
    <row r="572">
      <c r="A572" s="14"/>
      <c r="B572" s="67"/>
      <c r="C572" s="67"/>
    </row>
    <row r="573">
      <c r="A573" s="14"/>
      <c r="B573" s="67"/>
      <c r="C573" s="67"/>
    </row>
    <row r="574">
      <c r="A574" s="14"/>
      <c r="B574" s="67"/>
      <c r="C574" s="67"/>
    </row>
    <row r="575">
      <c r="A575" s="14"/>
      <c r="B575" s="67"/>
      <c r="C575" s="67"/>
    </row>
    <row r="576">
      <c r="A576" s="14"/>
      <c r="B576" s="67"/>
      <c r="C576" s="67"/>
    </row>
    <row r="577">
      <c r="A577" s="14"/>
      <c r="B577" s="67"/>
      <c r="C577" s="67"/>
    </row>
    <row r="578">
      <c r="A578" s="14"/>
      <c r="B578" s="67"/>
      <c r="C578" s="67"/>
    </row>
    <row r="579">
      <c r="A579" s="14"/>
      <c r="B579" s="67"/>
      <c r="C579" s="67"/>
    </row>
    <row r="580">
      <c r="A580" s="14"/>
      <c r="B580" s="67"/>
      <c r="C580" s="67"/>
    </row>
    <row r="581">
      <c r="A581" s="14"/>
      <c r="B581" s="67"/>
      <c r="C581" s="67"/>
    </row>
    <row r="582">
      <c r="A582" s="14"/>
      <c r="B582" s="67"/>
      <c r="C582" s="67"/>
    </row>
    <row r="583">
      <c r="A583" s="14"/>
      <c r="B583" s="67"/>
      <c r="C583" s="67"/>
    </row>
    <row r="584">
      <c r="A584" s="14"/>
      <c r="B584" s="67"/>
      <c r="C584" s="67"/>
    </row>
    <row r="585">
      <c r="A585" s="14"/>
      <c r="B585" s="67"/>
      <c r="C585" s="67"/>
    </row>
    <row r="586">
      <c r="A586" s="14"/>
      <c r="B586" s="67"/>
      <c r="C586" s="67"/>
    </row>
    <row r="587">
      <c r="A587" s="14"/>
      <c r="B587" s="67"/>
      <c r="C587" s="67"/>
    </row>
    <row r="588">
      <c r="A588" s="14"/>
      <c r="B588" s="67"/>
      <c r="C588" s="67"/>
    </row>
    <row r="589">
      <c r="A589" s="14"/>
      <c r="B589" s="67"/>
      <c r="C589" s="67"/>
    </row>
    <row r="590">
      <c r="A590" s="14"/>
      <c r="B590" s="67"/>
      <c r="C590" s="67"/>
    </row>
    <row r="591">
      <c r="A591" s="14"/>
      <c r="B591" s="67"/>
      <c r="C591" s="67"/>
    </row>
    <row r="592">
      <c r="A592" s="14"/>
      <c r="B592" s="67"/>
      <c r="C592" s="67"/>
    </row>
    <row r="593">
      <c r="A593" s="14"/>
      <c r="B593" s="67"/>
      <c r="C593" s="67"/>
    </row>
    <row r="594">
      <c r="A594" s="14"/>
      <c r="B594" s="67"/>
      <c r="C594" s="67"/>
    </row>
    <row r="595">
      <c r="A595" s="14"/>
      <c r="B595" s="67"/>
      <c r="C595" s="67"/>
    </row>
    <row r="596">
      <c r="A596" s="14"/>
      <c r="B596" s="67"/>
      <c r="C596" s="67"/>
    </row>
    <row r="597">
      <c r="A597" s="14"/>
      <c r="B597" s="67"/>
      <c r="C597" s="67"/>
    </row>
    <row r="598">
      <c r="A598" s="14"/>
      <c r="B598" s="67"/>
      <c r="C598" s="67"/>
    </row>
    <row r="599">
      <c r="A599" s="14"/>
      <c r="B599" s="67"/>
      <c r="C599" s="67"/>
    </row>
    <row r="600">
      <c r="A600" s="14"/>
      <c r="B600" s="67"/>
      <c r="C600" s="67"/>
    </row>
    <row r="601">
      <c r="A601" s="14"/>
      <c r="B601" s="67"/>
      <c r="C601" s="67"/>
    </row>
    <row r="602">
      <c r="A602" s="14"/>
      <c r="B602" s="67"/>
      <c r="C602" s="67"/>
    </row>
    <row r="603">
      <c r="A603" s="14"/>
      <c r="B603" s="67"/>
      <c r="C603" s="67"/>
    </row>
    <row r="604">
      <c r="A604" s="14"/>
      <c r="B604" s="67"/>
      <c r="C604" s="67"/>
    </row>
    <row r="605">
      <c r="A605" s="14"/>
      <c r="B605" s="67"/>
      <c r="C605" s="67"/>
    </row>
    <row r="606">
      <c r="A606" s="14"/>
      <c r="B606" s="67"/>
      <c r="C606" s="67"/>
    </row>
    <row r="607">
      <c r="A607" s="14"/>
      <c r="B607" s="67"/>
      <c r="C607" s="67"/>
    </row>
    <row r="608">
      <c r="A608" s="14"/>
      <c r="B608" s="67"/>
      <c r="C608" s="67"/>
    </row>
    <row r="609">
      <c r="A609" s="14"/>
      <c r="B609" s="67"/>
      <c r="C609" s="67"/>
    </row>
    <row r="610">
      <c r="A610" s="14"/>
      <c r="B610" s="67"/>
      <c r="C610" s="67"/>
    </row>
    <row r="611">
      <c r="A611" s="14"/>
      <c r="B611" s="67"/>
      <c r="C611" s="67"/>
    </row>
    <row r="612">
      <c r="A612" s="14"/>
      <c r="B612" s="67"/>
      <c r="C612" s="67"/>
    </row>
    <row r="613">
      <c r="A613" s="14"/>
      <c r="B613" s="67"/>
      <c r="C613" s="67"/>
    </row>
    <row r="614">
      <c r="A614" s="14"/>
      <c r="B614" s="67"/>
      <c r="C614" s="67"/>
    </row>
    <row r="615">
      <c r="A615" s="14"/>
      <c r="B615" s="67"/>
      <c r="C615" s="67"/>
    </row>
    <row r="616">
      <c r="A616" s="14"/>
      <c r="B616" s="67"/>
      <c r="C616" s="67"/>
    </row>
    <row r="617">
      <c r="A617" s="14"/>
      <c r="B617" s="67"/>
      <c r="C617" s="67"/>
    </row>
    <row r="618">
      <c r="A618" s="14"/>
      <c r="B618" s="67"/>
      <c r="C618" s="67"/>
    </row>
    <row r="619">
      <c r="A619" s="14"/>
      <c r="B619" s="67"/>
      <c r="C619" s="67"/>
    </row>
    <row r="620">
      <c r="A620" s="14"/>
      <c r="B620" s="67"/>
      <c r="C620" s="67"/>
    </row>
    <row r="621">
      <c r="A621" s="14"/>
      <c r="B621" s="67"/>
      <c r="C621" s="67"/>
    </row>
    <row r="622">
      <c r="A622" s="14"/>
      <c r="B622" s="67"/>
      <c r="C622" s="67"/>
    </row>
    <row r="623">
      <c r="A623" s="14"/>
      <c r="B623" s="67"/>
      <c r="C623" s="67"/>
    </row>
    <row r="624">
      <c r="A624" s="14"/>
      <c r="B624" s="67"/>
      <c r="C624" s="67"/>
    </row>
    <row r="625">
      <c r="A625" s="14"/>
      <c r="B625" s="67"/>
      <c r="C625" s="67"/>
    </row>
    <row r="626">
      <c r="A626" s="14"/>
      <c r="B626" s="67"/>
      <c r="C626" s="67"/>
    </row>
    <row r="627">
      <c r="A627" s="14"/>
      <c r="B627" s="67"/>
      <c r="C627" s="67"/>
    </row>
    <row r="628">
      <c r="A628" s="14"/>
      <c r="B628" s="67"/>
      <c r="C628" s="67"/>
    </row>
    <row r="629">
      <c r="A629" s="14"/>
      <c r="B629" s="67"/>
      <c r="C629" s="67"/>
    </row>
    <row r="630">
      <c r="A630" s="14"/>
      <c r="B630" s="67"/>
      <c r="C630" s="67"/>
    </row>
    <row r="631">
      <c r="A631" s="14"/>
      <c r="B631" s="67"/>
      <c r="C631" s="67"/>
    </row>
    <row r="632">
      <c r="A632" s="14"/>
      <c r="B632" s="67"/>
      <c r="C632" s="67"/>
    </row>
    <row r="633">
      <c r="A633" s="14"/>
      <c r="B633" s="67"/>
      <c r="C633" s="67"/>
    </row>
    <row r="634">
      <c r="A634" s="14"/>
      <c r="B634" s="67"/>
      <c r="C634" s="67"/>
    </row>
    <row r="635">
      <c r="A635" s="14"/>
      <c r="B635" s="67"/>
      <c r="C635" s="67"/>
    </row>
    <row r="636">
      <c r="A636" s="14"/>
      <c r="B636" s="67"/>
      <c r="C636" s="67"/>
    </row>
    <row r="637">
      <c r="A637" s="14"/>
      <c r="B637" s="67"/>
      <c r="C637" s="67"/>
    </row>
    <row r="638">
      <c r="A638" s="14"/>
      <c r="B638" s="67"/>
      <c r="C638" s="67"/>
    </row>
    <row r="639">
      <c r="A639" s="14"/>
      <c r="B639" s="67"/>
      <c r="C639" s="67"/>
    </row>
    <row r="640">
      <c r="A640" s="14"/>
      <c r="B640" s="67"/>
      <c r="C640" s="67"/>
    </row>
    <row r="641">
      <c r="A641" s="14"/>
      <c r="B641" s="67"/>
      <c r="C641" s="67"/>
    </row>
    <row r="642">
      <c r="A642" s="14"/>
      <c r="B642" s="67"/>
      <c r="C642" s="67"/>
    </row>
    <row r="643">
      <c r="A643" s="14"/>
      <c r="B643" s="67"/>
      <c r="C643" s="67"/>
    </row>
    <row r="644">
      <c r="A644" s="14"/>
      <c r="B644" s="67"/>
      <c r="C644" s="67"/>
    </row>
    <row r="645">
      <c r="A645" s="14"/>
      <c r="B645" s="67"/>
      <c r="C645" s="67"/>
    </row>
    <row r="646">
      <c r="A646" s="14"/>
      <c r="B646" s="67"/>
      <c r="C646" s="67"/>
    </row>
    <row r="647">
      <c r="A647" s="14"/>
      <c r="B647" s="67"/>
      <c r="C647" s="67"/>
    </row>
    <row r="648">
      <c r="A648" s="14"/>
      <c r="B648" s="67"/>
      <c r="C648" s="67"/>
    </row>
    <row r="649">
      <c r="A649" s="14"/>
      <c r="B649" s="67"/>
      <c r="C649" s="67"/>
    </row>
    <row r="650">
      <c r="A650" s="14"/>
      <c r="B650" s="67"/>
      <c r="C650" s="67"/>
    </row>
    <row r="651">
      <c r="A651" s="14"/>
      <c r="B651" s="67"/>
      <c r="C651" s="67"/>
    </row>
    <row r="652">
      <c r="A652" s="14"/>
      <c r="B652" s="67"/>
      <c r="C652" s="67"/>
    </row>
    <row r="653">
      <c r="A653" s="14"/>
      <c r="B653" s="67"/>
      <c r="C653" s="67"/>
    </row>
    <row r="654">
      <c r="A654" s="14"/>
      <c r="B654" s="67"/>
      <c r="C654" s="67"/>
    </row>
    <row r="655">
      <c r="A655" s="14"/>
      <c r="B655" s="67"/>
      <c r="C655" s="67"/>
    </row>
    <row r="656">
      <c r="A656" s="14"/>
      <c r="B656" s="67"/>
      <c r="C656" s="67"/>
    </row>
    <row r="657">
      <c r="A657" s="14"/>
      <c r="B657" s="67"/>
      <c r="C657" s="67"/>
    </row>
    <row r="658">
      <c r="A658" s="14"/>
      <c r="B658" s="67"/>
      <c r="C658" s="67"/>
    </row>
    <row r="659">
      <c r="A659" s="14"/>
      <c r="B659" s="67"/>
      <c r="C659" s="67"/>
    </row>
    <row r="660">
      <c r="A660" s="14"/>
      <c r="B660" s="67"/>
      <c r="C660" s="67"/>
    </row>
    <row r="661">
      <c r="A661" s="14"/>
      <c r="B661" s="67"/>
      <c r="C661" s="67"/>
    </row>
    <row r="662">
      <c r="A662" s="14"/>
      <c r="B662" s="67"/>
      <c r="C662" s="67"/>
    </row>
    <row r="663">
      <c r="A663" s="14"/>
      <c r="B663" s="67"/>
      <c r="C663" s="67"/>
    </row>
    <row r="664">
      <c r="A664" s="14"/>
      <c r="B664" s="67"/>
      <c r="C664" s="67"/>
    </row>
    <row r="665">
      <c r="A665" s="14"/>
      <c r="B665" s="67"/>
      <c r="C665" s="67"/>
    </row>
    <row r="666">
      <c r="A666" s="14"/>
      <c r="B666" s="67"/>
      <c r="C666" s="67"/>
    </row>
    <row r="667">
      <c r="A667" s="14"/>
      <c r="B667" s="67"/>
      <c r="C667" s="67"/>
    </row>
    <row r="668">
      <c r="A668" s="14"/>
      <c r="B668" s="67"/>
      <c r="C668" s="67"/>
    </row>
    <row r="669">
      <c r="A669" s="14"/>
      <c r="B669" s="67"/>
      <c r="C669" s="67"/>
    </row>
    <row r="670">
      <c r="A670" s="14"/>
      <c r="B670" s="67"/>
      <c r="C670" s="67"/>
    </row>
    <row r="671">
      <c r="A671" s="14"/>
      <c r="B671" s="67"/>
      <c r="C671" s="67"/>
    </row>
    <row r="672">
      <c r="A672" s="14"/>
      <c r="B672" s="67"/>
      <c r="C672" s="67"/>
    </row>
    <row r="673">
      <c r="A673" s="14"/>
      <c r="B673" s="67"/>
      <c r="C673" s="67"/>
    </row>
    <row r="674">
      <c r="A674" s="14"/>
      <c r="B674" s="67"/>
      <c r="C674" s="67"/>
    </row>
    <row r="675">
      <c r="A675" s="14"/>
      <c r="B675" s="67"/>
      <c r="C675" s="67"/>
    </row>
    <row r="676">
      <c r="A676" s="14"/>
      <c r="B676" s="67"/>
      <c r="C676" s="67"/>
    </row>
    <row r="677">
      <c r="A677" s="14"/>
      <c r="B677" s="67"/>
      <c r="C677" s="67"/>
    </row>
    <row r="678">
      <c r="A678" s="14"/>
      <c r="B678" s="67"/>
      <c r="C678" s="67"/>
    </row>
    <row r="679">
      <c r="A679" s="14"/>
      <c r="B679" s="67"/>
      <c r="C679" s="67"/>
    </row>
    <row r="680">
      <c r="A680" s="14"/>
      <c r="B680" s="67"/>
      <c r="C680" s="67"/>
    </row>
    <row r="681">
      <c r="A681" s="14"/>
      <c r="B681" s="67"/>
      <c r="C681" s="67"/>
    </row>
    <row r="682">
      <c r="A682" s="14"/>
      <c r="B682" s="67"/>
      <c r="C682" s="67"/>
    </row>
    <row r="683">
      <c r="A683" s="14"/>
      <c r="B683" s="67"/>
      <c r="C683" s="67"/>
    </row>
    <row r="684">
      <c r="A684" s="14"/>
      <c r="B684" s="67"/>
      <c r="C684" s="67"/>
    </row>
    <row r="685">
      <c r="A685" s="14"/>
      <c r="B685" s="67"/>
      <c r="C685" s="67"/>
    </row>
    <row r="686">
      <c r="A686" s="14"/>
      <c r="B686" s="67"/>
      <c r="C686" s="67"/>
    </row>
    <row r="687">
      <c r="A687" s="14"/>
      <c r="B687" s="67"/>
      <c r="C687" s="67"/>
    </row>
    <row r="688">
      <c r="A688" s="14"/>
      <c r="B688" s="67"/>
      <c r="C688" s="67"/>
    </row>
    <row r="689">
      <c r="A689" s="14"/>
      <c r="B689" s="67"/>
      <c r="C689" s="67"/>
    </row>
    <row r="690">
      <c r="A690" s="14"/>
      <c r="B690" s="67"/>
      <c r="C690" s="67"/>
    </row>
    <row r="691">
      <c r="A691" s="14"/>
      <c r="B691" s="67"/>
      <c r="C691" s="67"/>
    </row>
    <row r="692">
      <c r="A692" s="14"/>
      <c r="B692" s="67"/>
      <c r="C692" s="67"/>
    </row>
    <row r="693">
      <c r="A693" s="14"/>
      <c r="B693" s="67"/>
      <c r="C693" s="67"/>
    </row>
    <row r="694">
      <c r="A694" s="14"/>
      <c r="B694" s="67"/>
      <c r="C694" s="67"/>
    </row>
    <row r="695">
      <c r="A695" s="14"/>
      <c r="B695" s="67"/>
      <c r="C695" s="67"/>
    </row>
    <row r="696">
      <c r="A696" s="14"/>
      <c r="B696" s="67"/>
      <c r="C696" s="67"/>
    </row>
    <row r="697">
      <c r="A697" s="14"/>
      <c r="B697" s="67"/>
      <c r="C697" s="67"/>
    </row>
    <row r="698">
      <c r="A698" s="14"/>
      <c r="B698" s="67"/>
      <c r="C698" s="67"/>
    </row>
    <row r="699">
      <c r="A699" s="14"/>
      <c r="B699" s="67"/>
      <c r="C699" s="67"/>
    </row>
    <row r="700">
      <c r="A700" s="14"/>
      <c r="B700" s="67"/>
      <c r="C700" s="67"/>
    </row>
    <row r="701">
      <c r="A701" s="14"/>
      <c r="B701" s="67"/>
      <c r="C701" s="67"/>
    </row>
    <row r="702">
      <c r="A702" s="14"/>
      <c r="B702" s="67"/>
      <c r="C702" s="67"/>
    </row>
    <row r="703">
      <c r="A703" s="14"/>
      <c r="B703" s="67"/>
      <c r="C703" s="67"/>
    </row>
    <row r="704">
      <c r="A704" s="14"/>
      <c r="B704" s="67"/>
      <c r="C704" s="67"/>
    </row>
    <row r="705">
      <c r="A705" s="14"/>
      <c r="B705" s="67"/>
      <c r="C705" s="67"/>
    </row>
    <row r="706">
      <c r="A706" s="14"/>
      <c r="B706" s="67"/>
      <c r="C706" s="67"/>
    </row>
    <row r="707">
      <c r="A707" s="14"/>
      <c r="B707" s="67"/>
      <c r="C707" s="67"/>
    </row>
    <row r="708">
      <c r="A708" s="14"/>
      <c r="B708" s="67"/>
      <c r="C708" s="67"/>
    </row>
    <row r="709">
      <c r="A709" s="14"/>
      <c r="B709" s="67"/>
      <c r="C709" s="67"/>
    </row>
    <row r="710">
      <c r="A710" s="14"/>
      <c r="B710" s="67"/>
      <c r="C710" s="67"/>
    </row>
    <row r="711">
      <c r="A711" s="14"/>
      <c r="B711" s="67"/>
      <c r="C711" s="67"/>
    </row>
    <row r="712">
      <c r="A712" s="14"/>
      <c r="B712" s="67"/>
      <c r="C712" s="67"/>
    </row>
    <row r="713">
      <c r="A713" s="14"/>
      <c r="B713" s="67"/>
      <c r="C713" s="67"/>
    </row>
    <row r="714">
      <c r="A714" s="14"/>
      <c r="B714" s="67"/>
      <c r="C714" s="67"/>
    </row>
    <row r="715">
      <c r="A715" s="14"/>
      <c r="B715" s="67"/>
      <c r="C715" s="67"/>
    </row>
    <row r="716">
      <c r="A716" s="14"/>
      <c r="B716" s="67"/>
      <c r="C716" s="67"/>
    </row>
    <row r="717">
      <c r="A717" s="14"/>
      <c r="B717" s="67"/>
      <c r="C717" s="67"/>
    </row>
    <row r="718">
      <c r="A718" s="14"/>
      <c r="B718" s="67"/>
      <c r="C718" s="67"/>
    </row>
    <row r="719">
      <c r="A719" s="14"/>
      <c r="B719" s="67"/>
      <c r="C719" s="67"/>
    </row>
    <row r="720">
      <c r="A720" s="14"/>
      <c r="B720" s="67"/>
      <c r="C720" s="67"/>
    </row>
    <row r="721">
      <c r="A721" s="14"/>
      <c r="B721" s="67"/>
      <c r="C721" s="67"/>
    </row>
    <row r="722">
      <c r="A722" s="14"/>
      <c r="B722" s="67"/>
      <c r="C722" s="67"/>
    </row>
    <row r="723">
      <c r="A723" s="14"/>
      <c r="B723" s="67"/>
      <c r="C723" s="67"/>
    </row>
    <row r="724">
      <c r="A724" s="14"/>
      <c r="B724" s="67"/>
      <c r="C724" s="67"/>
    </row>
    <row r="725">
      <c r="A725" s="14"/>
      <c r="B725" s="67"/>
      <c r="C725" s="67"/>
    </row>
    <row r="726">
      <c r="A726" s="14"/>
      <c r="B726" s="67"/>
      <c r="C726" s="67"/>
    </row>
    <row r="727">
      <c r="A727" s="14"/>
      <c r="B727" s="67"/>
      <c r="C727" s="67"/>
    </row>
    <row r="728">
      <c r="A728" s="14"/>
      <c r="B728" s="67"/>
      <c r="C728" s="67"/>
    </row>
    <row r="729">
      <c r="A729" s="14"/>
      <c r="B729" s="67"/>
      <c r="C729" s="67"/>
    </row>
    <row r="730">
      <c r="A730" s="14"/>
      <c r="B730" s="67"/>
      <c r="C730" s="67"/>
    </row>
    <row r="731">
      <c r="A731" s="14"/>
      <c r="B731" s="67"/>
      <c r="C731" s="67"/>
    </row>
    <row r="732">
      <c r="A732" s="14"/>
      <c r="B732" s="67"/>
      <c r="C732" s="67"/>
    </row>
    <row r="733">
      <c r="A733" s="14"/>
      <c r="B733" s="67"/>
      <c r="C733" s="67"/>
    </row>
    <row r="734">
      <c r="A734" s="14"/>
      <c r="B734" s="67"/>
      <c r="C734" s="67"/>
    </row>
    <row r="735">
      <c r="A735" s="14"/>
      <c r="B735" s="67"/>
      <c r="C735" s="67"/>
    </row>
    <row r="736">
      <c r="A736" s="14"/>
      <c r="B736" s="67"/>
      <c r="C736" s="67"/>
    </row>
    <row r="737">
      <c r="A737" s="14"/>
      <c r="B737" s="67"/>
      <c r="C737" s="67"/>
    </row>
    <row r="738">
      <c r="A738" s="14"/>
      <c r="B738" s="67"/>
      <c r="C738" s="67"/>
    </row>
    <row r="739">
      <c r="A739" s="14"/>
      <c r="B739" s="67"/>
      <c r="C739" s="67"/>
    </row>
    <row r="740">
      <c r="A740" s="14"/>
      <c r="B740" s="67"/>
      <c r="C740" s="67"/>
    </row>
    <row r="741">
      <c r="A741" s="14"/>
      <c r="B741" s="67"/>
      <c r="C741" s="67"/>
    </row>
    <row r="742">
      <c r="A742" s="14"/>
      <c r="B742" s="67"/>
      <c r="C742" s="67"/>
    </row>
    <row r="743">
      <c r="A743" s="14"/>
      <c r="B743" s="67"/>
      <c r="C743" s="67"/>
    </row>
    <row r="744">
      <c r="A744" s="14"/>
      <c r="B744" s="67"/>
      <c r="C744" s="67"/>
    </row>
    <row r="745">
      <c r="A745" s="14"/>
      <c r="B745" s="67"/>
      <c r="C745" s="67"/>
    </row>
    <row r="746">
      <c r="A746" s="14"/>
      <c r="B746" s="67"/>
      <c r="C746" s="67"/>
    </row>
    <row r="747">
      <c r="A747" s="14"/>
      <c r="B747" s="67"/>
      <c r="C747" s="67"/>
    </row>
    <row r="748">
      <c r="A748" s="14"/>
      <c r="B748" s="67"/>
      <c r="C748" s="67"/>
    </row>
    <row r="749">
      <c r="A749" s="14"/>
      <c r="B749" s="67"/>
      <c r="C749" s="67"/>
    </row>
    <row r="750">
      <c r="A750" s="14"/>
      <c r="B750" s="67"/>
      <c r="C750" s="67"/>
    </row>
    <row r="751">
      <c r="A751" s="14"/>
      <c r="B751" s="67"/>
      <c r="C751" s="67"/>
    </row>
    <row r="752">
      <c r="A752" s="14"/>
      <c r="B752" s="67"/>
      <c r="C752" s="67"/>
    </row>
    <row r="753">
      <c r="A753" s="14"/>
      <c r="B753" s="67"/>
      <c r="C753" s="67"/>
    </row>
    <row r="754">
      <c r="A754" s="14"/>
      <c r="B754" s="67"/>
      <c r="C754" s="67"/>
    </row>
    <row r="755">
      <c r="A755" s="14"/>
      <c r="B755" s="67"/>
      <c r="C755" s="67"/>
    </row>
    <row r="756">
      <c r="A756" s="14"/>
      <c r="B756" s="67"/>
      <c r="C756" s="67"/>
    </row>
    <row r="757">
      <c r="A757" s="14"/>
      <c r="B757" s="67"/>
      <c r="C757" s="67"/>
    </row>
    <row r="758">
      <c r="A758" s="14"/>
      <c r="B758" s="67"/>
      <c r="C758" s="67"/>
    </row>
    <row r="759">
      <c r="A759" s="14"/>
      <c r="B759" s="67"/>
      <c r="C759" s="67"/>
    </row>
    <row r="760">
      <c r="A760" s="14"/>
      <c r="B760" s="67"/>
      <c r="C760" s="67"/>
    </row>
    <row r="761">
      <c r="A761" s="14"/>
      <c r="B761" s="67"/>
      <c r="C761" s="67"/>
    </row>
    <row r="762">
      <c r="A762" s="14"/>
      <c r="B762" s="67"/>
      <c r="C762" s="67"/>
    </row>
    <row r="763">
      <c r="A763" s="14"/>
      <c r="B763" s="67"/>
      <c r="C763" s="67"/>
    </row>
    <row r="764">
      <c r="A764" s="14"/>
      <c r="B764" s="67"/>
      <c r="C764" s="67"/>
    </row>
    <row r="765">
      <c r="A765" s="14"/>
      <c r="B765" s="67"/>
      <c r="C765" s="67"/>
    </row>
    <row r="766">
      <c r="A766" s="14"/>
      <c r="B766" s="67"/>
      <c r="C766" s="67"/>
    </row>
    <row r="767">
      <c r="A767" s="14"/>
      <c r="B767" s="67"/>
      <c r="C767" s="67"/>
    </row>
    <row r="768">
      <c r="A768" s="14"/>
      <c r="B768" s="67"/>
      <c r="C768" s="67"/>
    </row>
    <row r="769">
      <c r="A769" s="14"/>
      <c r="B769" s="67"/>
      <c r="C769" s="67"/>
    </row>
    <row r="770">
      <c r="A770" s="14"/>
      <c r="B770" s="67"/>
      <c r="C770" s="67"/>
    </row>
    <row r="771">
      <c r="A771" s="14"/>
      <c r="B771" s="67"/>
      <c r="C771" s="67"/>
    </row>
    <row r="772">
      <c r="A772" s="14"/>
      <c r="B772" s="67"/>
      <c r="C772" s="67"/>
    </row>
    <row r="773">
      <c r="A773" s="14"/>
      <c r="B773" s="67"/>
      <c r="C773" s="67"/>
    </row>
    <row r="774">
      <c r="A774" s="14"/>
      <c r="B774" s="67"/>
      <c r="C774" s="67"/>
    </row>
    <row r="775">
      <c r="A775" s="14"/>
      <c r="B775" s="67"/>
      <c r="C775" s="67"/>
    </row>
    <row r="776">
      <c r="A776" s="14"/>
      <c r="B776" s="67"/>
      <c r="C776" s="67"/>
    </row>
    <row r="777">
      <c r="A777" s="14"/>
      <c r="B777" s="67"/>
      <c r="C777" s="67"/>
    </row>
    <row r="778">
      <c r="A778" s="14"/>
      <c r="B778" s="67"/>
      <c r="C778" s="67"/>
    </row>
    <row r="779">
      <c r="A779" s="14"/>
      <c r="B779" s="67"/>
      <c r="C779" s="67"/>
    </row>
    <row r="780">
      <c r="A780" s="14"/>
      <c r="B780" s="67"/>
      <c r="C780" s="67"/>
    </row>
    <row r="781">
      <c r="A781" s="14"/>
      <c r="B781" s="67"/>
      <c r="C781" s="67"/>
    </row>
    <row r="782">
      <c r="A782" s="14"/>
      <c r="B782" s="67"/>
      <c r="C782" s="67"/>
    </row>
    <row r="783">
      <c r="A783" s="14"/>
      <c r="B783" s="67"/>
      <c r="C783" s="67"/>
    </row>
    <row r="784">
      <c r="A784" s="14"/>
      <c r="B784" s="67"/>
      <c r="C784" s="67"/>
    </row>
    <row r="785">
      <c r="A785" s="14"/>
      <c r="B785" s="67"/>
      <c r="C785" s="67"/>
    </row>
    <row r="786">
      <c r="A786" s="14"/>
      <c r="B786" s="67"/>
      <c r="C786" s="67"/>
    </row>
    <row r="787">
      <c r="A787" s="14"/>
      <c r="B787" s="67"/>
      <c r="C787" s="67"/>
    </row>
    <row r="788">
      <c r="A788" s="14"/>
      <c r="B788" s="67"/>
      <c r="C788" s="67"/>
    </row>
    <row r="789">
      <c r="A789" s="14"/>
      <c r="B789" s="67"/>
      <c r="C789" s="67"/>
    </row>
    <row r="790">
      <c r="A790" s="14"/>
      <c r="B790" s="67"/>
      <c r="C790" s="67"/>
    </row>
    <row r="791">
      <c r="A791" s="14"/>
      <c r="B791" s="67"/>
      <c r="C791" s="67"/>
    </row>
    <row r="792">
      <c r="A792" s="14"/>
      <c r="B792" s="67"/>
      <c r="C792" s="67"/>
    </row>
    <row r="793">
      <c r="A793" s="14"/>
      <c r="B793" s="67"/>
      <c r="C793" s="67"/>
    </row>
    <row r="794">
      <c r="A794" s="14"/>
      <c r="B794" s="67"/>
      <c r="C794" s="67"/>
    </row>
    <row r="795">
      <c r="A795" s="14"/>
      <c r="B795" s="67"/>
      <c r="C795" s="67"/>
    </row>
    <row r="796">
      <c r="A796" s="14"/>
      <c r="B796" s="67"/>
      <c r="C796" s="67"/>
    </row>
    <row r="797">
      <c r="A797" s="14"/>
      <c r="B797" s="67"/>
      <c r="C797" s="67"/>
    </row>
    <row r="798">
      <c r="A798" s="14"/>
      <c r="B798" s="67"/>
      <c r="C798" s="67"/>
    </row>
    <row r="799">
      <c r="A799" s="14"/>
      <c r="B799" s="67"/>
      <c r="C799" s="67"/>
    </row>
    <row r="800">
      <c r="A800" s="14"/>
      <c r="B800" s="67"/>
      <c r="C800" s="67"/>
    </row>
    <row r="801">
      <c r="A801" s="14"/>
      <c r="B801" s="67"/>
      <c r="C801" s="67"/>
    </row>
    <row r="802">
      <c r="A802" s="14"/>
      <c r="B802" s="67"/>
      <c r="C802" s="67"/>
    </row>
    <row r="803">
      <c r="A803" s="14"/>
      <c r="B803" s="67"/>
      <c r="C803" s="67"/>
    </row>
    <row r="804">
      <c r="A804" s="14"/>
      <c r="B804" s="67"/>
      <c r="C804" s="67"/>
    </row>
    <row r="805">
      <c r="A805" s="14"/>
      <c r="B805" s="67"/>
      <c r="C805" s="67"/>
    </row>
    <row r="806">
      <c r="A806" s="14"/>
      <c r="B806" s="67"/>
      <c r="C806" s="67"/>
    </row>
    <row r="807">
      <c r="A807" s="14"/>
      <c r="B807" s="67"/>
      <c r="C807" s="67"/>
    </row>
    <row r="808">
      <c r="A808" s="14"/>
      <c r="B808" s="67"/>
      <c r="C808" s="67"/>
    </row>
    <row r="809">
      <c r="A809" s="14"/>
      <c r="B809" s="67"/>
      <c r="C809" s="67"/>
    </row>
    <row r="810">
      <c r="A810" s="14"/>
      <c r="B810" s="67"/>
      <c r="C810" s="67"/>
    </row>
    <row r="811">
      <c r="A811" s="14"/>
      <c r="B811" s="67"/>
      <c r="C811" s="67"/>
    </row>
    <row r="812">
      <c r="A812" s="14"/>
      <c r="B812" s="67"/>
      <c r="C812" s="67"/>
    </row>
    <row r="813">
      <c r="A813" s="14"/>
      <c r="B813" s="67"/>
      <c r="C813" s="67"/>
    </row>
    <row r="814">
      <c r="A814" s="14"/>
      <c r="B814" s="67"/>
      <c r="C814" s="67"/>
    </row>
    <row r="815">
      <c r="A815" s="14"/>
      <c r="B815" s="67"/>
      <c r="C815" s="67"/>
    </row>
    <row r="816">
      <c r="A816" s="14"/>
      <c r="B816" s="67"/>
      <c r="C816" s="67"/>
    </row>
    <row r="817">
      <c r="A817" s="14"/>
      <c r="B817" s="67"/>
      <c r="C817" s="67"/>
    </row>
    <row r="818">
      <c r="A818" s="14"/>
      <c r="B818" s="67"/>
      <c r="C818" s="67"/>
    </row>
    <row r="819">
      <c r="A819" s="14"/>
      <c r="B819" s="67"/>
      <c r="C819" s="67"/>
    </row>
    <row r="820">
      <c r="A820" s="14"/>
      <c r="B820" s="67"/>
      <c r="C820" s="67"/>
    </row>
    <row r="821">
      <c r="A821" s="14"/>
      <c r="B821" s="67"/>
      <c r="C821" s="67"/>
    </row>
    <row r="822">
      <c r="A822" s="14"/>
      <c r="B822" s="67"/>
      <c r="C822" s="67"/>
    </row>
    <row r="823">
      <c r="A823" s="14"/>
      <c r="B823" s="67"/>
      <c r="C823" s="67"/>
    </row>
    <row r="824">
      <c r="A824" s="14"/>
      <c r="B824" s="67"/>
      <c r="C824" s="67"/>
    </row>
    <row r="825">
      <c r="A825" s="14"/>
      <c r="B825" s="67"/>
      <c r="C825" s="67"/>
    </row>
    <row r="826">
      <c r="A826" s="14"/>
      <c r="B826" s="67"/>
      <c r="C826" s="67"/>
    </row>
    <row r="827">
      <c r="A827" s="14"/>
      <c r="B827" s="67"/>
      <c r="C827" s="67"/>
    </row>
    <row r="828">
      <c r="A828" s="14"/>
      <c r="B828" s="67"/>
      <c r="C828" s="67"/>
    </row>
    <row r="829">
      <c r="A829" s="14"/>
      <c r="B829" s="67"/>
      <c r="C829" s="67"/>
    </row>
    <row r="830">
      <c r="A830" s="14"/>
      <c r="B830" s="67"/>
      <c r="C830" s="67"/>
    </row>
    <row r="831">
      <c r="A831" s="14"/>
      <c r="B831" s="67"/>
      <c r="C831" s="67"/>
    </row>
    <row r="832">
      <c r="A832" s="14"/>
      <c r="B832" s="67"/>
      <c r="C832" s="67"/>
    </row>
    <row r="833">
      <c r="A833" s="14"/>
      <c r="B833" s="67"/>
      <c r="C833" s="67"/>
    </row>
    <row r="834">
      <c r="A834" s="14"/>
      <c r="B834" s="67"/>
      <c r="C834" s="67"/>
    </row>
    <row r="835">
      <c r="A835" s="14"/>
      <c r="B835" s="67"/>
      <c r="C835" s="67"/>
    </row>
    <row r="836">
      <c r="A836" s="14"/>
      <c r="B836" s="67"/>
      <c r="C836" s="67"/>
    </row>
    <row r="837">
      <c r="A837" s="14"/>
      <c r="B837" s="67"/>
      <c r="C837" s="67"/>
    </row>
    <row r="838">
      <c r="A838" s="14"/>
      <c r="B838" s="67"/>
      <c r="C838" s="67"/>
    </row>
    <row r="839">
      <c r="A839" s="14"/>
      <c r="B839" s="67"/>
      <c r="C839" s="67"/>
    </row>
    <row r="840">
      <c r="A840" s="14"/>
      <c r="B840" s="67"/>
      <c r="C840" s="67"/>
    </row>
    <row r="841">
      <c r="A841" s="14"/>
      <c r="B841" s="67"/>
      <c r="C841" s="67"/>
    </row>
    <row r="842">
      <c r="A842" s="14"/>
      <c r="B842" s="67"/>
      <c r="C842" s="67"/>
    </row>
    <row r="843">
      <c r="A843" s="14"/>
      <c r="B843" s="67"/>
      <c r="C843" s="67"/>
    </row>
    <row r="844">
      <c r="A844" s="14"/>
      <c r="B844" s="67"/>
      <c r="C844" s="67"/>
    </row>
    <row r="845">
      <c r="A845" s="14"/>
      <c r="B845" s="67"/>
      <c r="C845" s="67"/>
    </row>
    <row r="846">
      <c r="A846" s="14"/>
      <c r="B846" s="67"/>
      <c r="C846" s="67"/>
    </row>
    <row r="847">
      <c r="A847" s="14"/>
      <c r="B847" s="67"/>
      <c r="C847" s="67"/>
    </row>
    <row r="848">
      <c r="A848" s="14"/>
      <c r="B848" s="67"/>
      <c r="C848" s="67"/>
    </row>
    <row r="849">
      <c r="A849" s="14"/>
      <c r="B849" s="67"/>
      <c r="C849" s="67"/>
    </row>
    <row r="850">
      <c r="A850" s="14"/>
      <c r="B850" s="67"/>
      <c r="C850" s="67"/>
    </row>
    <row r="851">
      <c r="A851" s="14"/>
      <c r="B851" s="67"/>
      <c r="C851" s="67"/>
    </row>
    <row r="852">
      <c r="A852" s="14"/>
      <c r="B852" s="67"/>
      <c r="C852" s="67"/>
    </row>
    <row r="853">
      <c r="A853" s="14"/>
      <c r="B853" s="67"/>
      <c r="C853" s="67"/>
    </row>
    <row r="854">
      <c r="A854" s="14"/>
      <c r="B854" s="67"/>
      <c r="C854" s="67"/>
    </row>
    <row r="855">
      <c r="A855" s="14"/>
      <c r="B855" s="67"/>
      <c r="C855" s="67"/>
    </row>
    <row r="856">
      <c r="A856" s="14"/>
      <c r="B856" s="67"/>
      <c r="C856" s="67"/>
    </row>
    <row r="857">
      <c r="A857" s="14"/>
      <c r="B857" s="67"/>
      <c r="C857" s="67"/>
    </row>
    <row r="858">
      <c r="A858" s="14"/>
      <c r="B858" s="67"/>
      <c r="C858" s="67"/>
    </row>
    <row r="859">
      <c r="A859" s="14"/>
      <c r="B859" s="67"/>
      <c r="C859" s="67"/>
    </row>
    <row r="860">
      <c r="A860" s="14"/>
      <c r="B860" s="67"/>
      <c r="C860" s="67"/>
    </row>
    <row r="861">
      <c r="A861" s="14"/>
      <c r="B861" s="67"/>
      <c r="C861" s="67"/>
    </row>
    <row r="862">
      <c r="A862" s="14"/>
      <c r="B862" s="67"/>
      <c r="C862" s="67"/>
    </row>
    <row r="863">
      <c r="A863" s="14"/>
      <c r="B863" s="67"/>
      <c r="C863" s="67"/>
    </row>
    <row r="864">
      <c r="A864" s="14"/>
      <c r="B864" s="67"/>
      <c r="C864" s="67"/>
    </row>
    <row r="865">
      <c r="A865" s="14"/>
      <c r="B865" s="67"/>
      <c r="C865" s="67"/>
    </row>
    <row r="866">
      <c r="A866" s="14"/>
      <c r="B866" s="67"/>
      <c r="C866" s="67"/>
    </row>
    <row r="867">
      <c r="A867" s="14"/>
      <c r="B867" s="67"/>
      <c r="C867" s="67"/>
    </row>
    <row r="868">
      <c r="A868" s="14"/>
      <c r="B868" s="67"/>
      <c r="C868" s="67"/>
    </row>
    <row r="869">
      <c r="A869" s="14"/>
      <c r="B869" s="67"/>
      <c r="C869" s="67"/>
    </row>
    <row r="870">
      <c r="A870" s="14"/>
      <c r="B870" s="67"/>
      <c r="C870" s="67"/>
    </row>
    <row r="871">
      <c r="A871" s="14"/>
      <c r="B871" s="67"/>
      <c r="C871" s="67"/>
    </row>
    <row r="872">
      <c r="A872" s="14"/>
      <c r="B872" s="67"/>
      <c r="C872" s="67"/>
    </row>
    <row r="873">
      <c r="A873" s="14"/>
      <c r="B873" s="67"/>
      <c r="C873" s="67"/>
    </row>
    <row r="874">
      <c r="A874" s="14"/>
      <c r="B874" s="67"/>
      <c r="C874" s="67"/>
    </row>
    <row r="875">
      <c r="A875" s="14"/>
      <c r="B875" s="67"/>
      <c r="C875" s="67"/>
    </row>
    <row r="876">
      <c r="A876" s="14"/>
      <c r="B876" s="67"/>
      <c r="C876" s="67"/>
    </row>
    <row r="877">
      <c r="A877" s="14"/>
      <c r="B877" s="67"/>
      <c r="C877" s="67"/>
    </row>
    <row r="878">
      <c r="A878" s="14"/>
      <c r="B878" s="67"/>
      <c r="C878" s="67"/>
    </row>
    <row r="879">
      <c r="A879" s="14"/>
      <c r="B879" s="67"/>
      <c r="C879" s="67"/>
    </row>
    <row r="880">
      <c r="A880" s="14"/>
      <c r="B880" s="67"/>
      <c r="C880" s="67"/>
    </row>
    <row r="881">
      <c r="A881" s="14"/>
      <c r="B881" s="67"/>
      <c r="C881" s="67"/>
    </row>
    <row r="882">
      <c r="A882" s="14"/>
      <c r="B882" s="67"/>
      <c r="C882" s="67"/>
    </row>
    <row r="883">
      <c r="A883" s="14"/>
      <c r="B883" s="67"/>
      <c r="C883" s="67"/>
    </row>
    <row r="884">
      <c r="A884" s="14"/>
      <c r="B884" s="67"/>
      <c r="C884" s="67"/>
    </row>
    <row r="885">
      <c r="A885" s="14"/>
      <c r="B885" s="67"/>
      <c r="C885" s="67"/>
    </row>
    <row r="886">
      <c r="A886" s="14"/>
      <c r="B886" s="67"/>
      <c r="C886" s="67"/>
    </row>
    <row r="887">
      <c r="A887" s="14"/>
      <c r="B887" s="67"/>
      <c r="C887" s="67"/>
    </row>
    <row r="888">
      <c r="A888" s="14"/>
      <c r="B888" s="67"/>
      <c r="C888" s="67"/>
    </row>
    <row r="889">
      <c r="A889" s="14"/>
      <c r="B889" s="67"/>
      <c r="C889" s="67"/>
    </row>
    <row r="890">
      <c r="A890" s="14"/>
      <c r="B890" s="67"/>
      <c r="C890" s="67"/>
    </row>
    <row r="891">
      <c r="A891" s="14"/>
      <c r="B891" s="67"/>
      <c r="C891" s="67"/>
    </row>
    <row r="892">
      <c r="A892" s="14"/>
      <c r="B892" s="67"/>
      <c r="C892" s="67"/>
    </row>
    <row r="893">
      <c r="A893" s="14"/>
      <c r="B893" s="67"/>
      <c r="C893" s="67"/>
    </row>
    <row r="894">
      <c r="A894" s="14"/>
      <c r="B894" s="67"/>
      <c r="C894" s="67"/>
    </row>
    <row r="895">
      <c r="A895" s="14"/>
      <c r="B895" s="67"/>
      <c r="C895" s="67"/>
    </row>
    <row r="896">
      <c r="A896" s="14"/>
      <c r="B896" s="67"/>
      <c r="C896" s="67"/>
    </row>
    <row r="897">
      <c r="A897" s="14"/>
      <c r="B897" s="67"/>
      <c r="C897" s="67"/>
    </row>
    <row r="898">
      <c r="A898" s="14"/>
      <c r="B898" s="67"/>
      <c r="C898" s="67"/>
    </row>
    <row r="899">
      <c r="A899" s="14"/>
      <c r="B899" s="67"/>
      <c r="C899" s="67"/>
    </row>
    <row r="900">
      <c r="A900" s="14"/>
      <c r="B900" s="67"/>
      <c r="C900" s="67"/>
    </row>
    <row r="901">
      <c r="A901" s="14"/>
      <c r="B901" s="67"/>
      <c r="C901" s="67"/>
    </row>
    <row r="902">
      <c r="A902" s="14"/>
      <c r="B902" s="67"/>
      <c r="C902" s="67"/>
    </row>
    <row r="903">
      <c r="A903" s="14"/>
      <c r="B903" s="67"/>
      <c r="C903" s="67"/>
    </row>
    <row r="904">
      <c r="A904" s="14"/>
      <c r="B904" s="67"/>
      <c r="C904" s="67"/>
    </row>
    <row r="905">
      <c r="A905" s="14"/>
      <c r="B905" s="67"/>
      <c r="C905" s="67"/>
    </row>
    <row r="906">
      <c r="A906" s="14"/>
      <c r="B906" s="67"/>
      <c r="C906" s="67"/>
    </row>
    <row r="907">
      <c r="A907" s="14"/>
      <c r="B907" s="67"/>
      <c r="C907" s="67"/>
    </row>
    <row r="908">
      <c r="A908" s="14"/>
      <c r="B908" s="67"/>
      <c r="C908" s="67"/>
    </row>
    <row r="909">
      <c r="A909" s="14"/>
      <c r="B909" s="67"/>
      <c r="C909" s="67"/>
    </row>
    <row r="910">
      <c r="A910" s="14"/>
      <c r="B910" s="67"/>
      <c r="C910" s="67"/>
    </row>
    <row r="911">
      <c r="A911" s="14"/>
      <c r="B911" s="67"/>
      <c r="C911" s="67"/>
    </row>
    <row r="912">
      <c r="A912" s="14"/>
      <c r="B912" s="67"/>
      <c r="C912" s="67"/>
    </row>
    <row r="913">
      <c r="A913" s="14"/>
      <c r="B913" s="67"/>
      <c r="C913" s="67"/>
    </row>
    <row r="914">
      <c r="A914" s="14"/>
      <c r="B914" s="67"/>
      <c r="C914" s="67"/>
    </row>
    <row r="915">
      <c r="A915" s="14"/>
      <c r="B915" s="67"/>
      <c r="C915" s="67"/>
    </row>
    <row r="916">
      <c r="A916" s="14"/>
      <c r="B916" s="67"/>
      <c r="C916" s="67"/>
    </row>
    <row r="917">
      <c r="A917" s="14"/>
      <c r="B917" s="67"/>
      <c r="C917" s="67"/>
    </row>
    <row r="918">
      <c r="A918" s="14"/>
      <c r="B918" s="67"/>
      <c r="C918" s="67"/>
    </row>
    <row r="919">
      <c r="A919" s="14"/>
      <c r="B919" s="67"/>
      <c r="C919" s="67"/>
    </row>
    <row r="920">
      <c r="A920" s="14"/>
      <c r="B920" s="67"/>
      <c r="C920" s="67"/>
    </row>
    <row r="921">
      <c r="A921" s="14"/>
      <c r="B921" s="67"/>
      <c r="C921" s="67"/>
    </row>
    <row r="922">
      <c r="A922" s="14"/>
      <c r="B922" s="67"/>
      <c r="C922" s="67"/>
    </row>
    <row r="923">
      <c r="A923" s="14"/>
      <c r="B923" s="67"/>
      <c r="C923" s="67"/>
    </row>
    <row r="924">
      <c r="A924" s="14"/>
      <c r="B924" s="67"/>
      <c r="C924" s="67"/>
    </row>
    <row r="925">
      <c r="A925" s="14"/>
      <c r="B925" s="67"/>
      <c r="C925" s="67"/>
    </row>
    <row r="926">
      <c r="A926" s="14"/>
      <c r="B926" s="67"/>
      <c r="C926" s="67"/>
    </row>
    <row r="927">
      <c r="A927" s="14"/>
      <c r="B927" s="67"/>
      <c r="C927" s="67"/>
    </row>
    <row r="928">
      <c r="A928" s="14"/>
      <c r="B928" s="67"/>
      <c r="C928" s="67"/>
    </row>
    <row r="929">
      <c r="A929" s="14"/>
      <c r="B929" s="67"/>
      <c r="C929" s="67"/>
    </row>
    <row r="930">
      <c r="A930" s="14"/>
      <c r="B930" s="67"/>
      <c r="C930" s="67"/>
    </row>
    <row r="931">
      <c r="A931" s="14"/>
      <c r="B931" s="67"/>
      <c r="C931" s="67"/>
    </row>
    <row r="932">
      <c r="A932" s="14"/>
      <c r="B932" s="67"/>
      <c r="C932" s="67"/>
    </row>
    <row r="933">
      <c r="A933" s="14"/>
      <c r="B933" s="67"/>
      <c r="C933" s="67"/>
    </row>
    <row r="934">
      <c r="A934" s="14"/>
      <c r="B934" s="67"/>
      <c r="C934" s="67"/>
    </row>
    <row r="935">
      <c r="A935" s="14"/>
      <c r="B935" s="67"/>
      <c r="C935" s="67"/>
    </row>
    <row r="936">
      <c r="A936" s="14"/>
      <c r="B936" s="67"/>
      <c r="C936" s="67"/>
    </row>
    <row r="937">
      <c r="A937" s="14"/>
      <c r="B937" s="67"/>
      <c r="C937" s="67"/>
    </row>
    <row r="938">
      <c r="A938" s="14"/>
      <c r="B938" s="67"/>
      <c r="C938" s="67"/>
    </row>
    <row r="939">
      <c r="A939" s="14"/>
      <c r="B939" s="67"/>
      <c r="C939" s="67"/>
    </row>
    <row r="940">
      <c r="A940" s="14"/>
      <c r="B940" s="67"/>
      <c r="C940" s="67"/>
    </row>
    <row r="941">
      <c r="A941" s="14"/>
      <c r="B941" s="67"/>
      <c r="C941" s="67"/>
    </row>
    <row r="942">
      <c r="A942" s="14"/>
      <c r="B942" s="67"/>
      <c r="C942" s="67"/>
    </row>
    <row r="943">
      <c r="A943" s="14"/>
      <c r="B943" s="67"/>
      <c r="C943" s="67"/>
    </row>
    <row r="944">
      <c r="A944" s="14"/>
      <c r="B944" s="67"/>
      <c r="C944" s="67"/>
    </row>
    <row r="945">
      <c r="A945" s="14"/>
      <c r="B945" s="67"/>
      <c r="C945" s="67"/>
    </row>
    <row r="946">
      <c r="A946" s="14"/>
      <c r="B946" s="67"/>
      <c r="C946" s="67"/>
    </row>
    <row r="947">
      <c r="A947" s="14"/>
      <c r="B947" s="67"/>
      <c r="C947" s="67"/>
    </row>
    <row r="948">
      <c r="A948" s="14"/>
      <c r="B948" s="67"/>
      <c r="C948" s="67"/>
    </row>
    <row r="949">
      <c r="A949" s="14"/>
      <c r="B949" s="67"/>
      <c r="C949" s="67"/>
    </row>
    <row r="950">
      <c r="A950" s="14"/>
      <c r="B950" s="67"/>
      <c r="C950" s="67"/>
    </row>
    <row r="951">
      <c r="A951" s="14"/>
      <c r="B951" s="67"/>
      <c r="C951" s="67"/>
    </row>
    <row r="952">
      <c r="A952" s="14"/>
      <c r="B952" s="67"/>
      <c r="C952" s="67"/>
    </row>
    <row r="953">
      <c r="A953" s="14"/>
      <c r="B953" s="67"/>
      <c r="C953" s="67"/>
    </row>
    <row r="954">
      <c r="A954" s="14"/>
      <c r="B954" s="67"/>
      <c r="C954" s="67"/>
    </row>
    <row r="955">
      <c r="A955" s="14"/>
      <c r="B955" s="67"/>
      <c r="C955" s="67"/>
    </row>
    <row r="956">
      <c r="A956" s="14"/>
      <c r="B956" s="67"/>
      <c r="C956" s="67"/>
    </row>
    <row r="957">
      <c r="A957" s="14"/>
      <c r="B957" s="67"/>
      <c r="C957" s="67"/>
    </row>
    <row r="958">
      <c r="A958" s="14"/>
      <c r="B958" s="67"/>
      <c r="C958" s="67"/>
    </row>
    <row r="959">
      <c r="A959" s="14"/>
      <c r="B959" s="67"/>
      <c r="C959" s="67"/>
    </row>
    <row r="960">
      <c r="A960" s="14"/>
      <c r="B960" s="67"/>
      <c r="C960" s="67"/>
    </row>
    <row r="961">
      <c r="A961" s="14"/>
      <c r="B961" s="67"/>
      <c r="C961" s="67"/>
    </row>
    <row r="962">
      <c r="A962" s="14"/>
      <c r="B962" s="67"/>
      <c r="C962" s="67"/>
    </row>
    <row r="963">
      <c r="A963" s="14"/>
      <c r="B963" s="67"/>
      <c r="C963" s="67"/>
    </row>
    <row r="964">
      <c r="A964" s="14"/>
      <c r="B964" s="67"/>
      <c r="C964" s="67"/>
    </row>
    <row r="965">
      <c r="A965" s="14"/>
      <c r="B965" s="67"/>
      <c r="C965" s="67"/>
    </row>
    <row r="966">
      <c r="A966" s="14"/>
      <c r="B966" s="67"/>
      <c r="C966" s="67"/>
    </row>
    <row r="967">
      <c r="A967" s="14"/>
      <c r="B967" s="67"/>
      <c r="C967" s="67"/>
    </row>
    <row r="968">
      <c r="A968" s="14"/>
      <c r="B968" s="67"/>
      <c r="C968" s="67"/>
    </row>
    <row r="969">
      <c r="A969" s="14"/>
      <c r="B969" s="67"/>
      <c r="C969" s="67"/>
    </row>
    <row r="970">
      <c r="A970" s="14"/>
      <c r="B970" s="67"/>
      <c r="C970" s="67"/>
    </row>
    <row r="971">
      <c r="A971" s="14"/>
      <c r="B971" s="67"/>
      <c r="C971" s="67"/>
    </row>
    <row r="972">
      <c r="A972" s="14"/>
      <c r="B972" s="67"/>
      <c r="C972" s="67"/>
    </row>
    <row r="973">
      <c r="A973" s="14"/>
      <c r="B973" s="67"/>
      <c r="C973" s="67"/>
    </row>
    <row r="974">
      <c r="A974" s="14"/>
      <c r="B974" s="67"/>
      <c r="C974" s="67"/>
    </row>
    <row r="975">
      <c r="A975" s="14"/>
      <c r="B975" s="67"/>
      <c r="C975" s="67"/>
    </row>
    <row r="976">
      <c r="A976" s="14"/>
      <c r="B976" s="67"/>
      <c r="C976" s="67"/>
    </row>
    <row r="977">
      <c r="A977" s="14"/>
      <c r="B977" s="67"/>
      <c r="C977" s="67"/>
    </row>
    <row r="978">
      <c r="A978" s="14"/>
      <c r="B978" s="67"/>
      <c r="C978" s="67"/>
    </row>
    <row r="979">
      <c r="A979" s="14"/>
      <c r="B979" s="67"/>
      <c r="C979" s="67"/>
    </row>
    <row r="980">
      <c r="A980" s="14"/>
      <c r="B980" s="67"/>
      <c r="C980" s="67"/>
    </row>
    <row r="981">
      <c r="A981" s="14"/>
      <c r="B981" s="67"/>
      <c r="C981" s="67"/>
    </row>
    <row r="982">
      <c r="A982" s="14"/>
      <c r="B982" s="67"/>
      <c r="C982" s="67"/>
    </row>
    <row r="983">
      <c r="A983" s="14"/>
      <c r="B983" s="67"/>
      <c r="C983" s="67"/>
    </row>
    <row r="984">
      <c r="A984" s="14"/>
      <c r="B984" s="67"/>
      <c r="C984" s="67"/>
    </row>
    <row r="985">
      <c r="A985" s="14"/>
      <c r="B985" s="67"/>
      <c r="C985" s="67"/>
    </row>
    <row r="986">
      <c r="A986" s="14"/>
      <c r="B986" s="67"/>
      <c r="C986" s="67"/>
    </row>
    <row r="987">
      <c r="A987" s="14"/>
      <c r="B987" s="67"/>
      <c r="C987" s="67"/>
    </row>
    <row r="988">
      <c r="A988" s="14"/>
      <c r="B988" s="67"/>
      <c r="C988" s="67"/>
    </row>
    <row r="989">
      <c r="A989" s="14"/>
      <c r="B989" s="67"/>
      <c r="C989" s="67"/>
    </row>
    <row r="990">
      <c r="A990" s="14"/>
      <c r="B990" s="67"/>
      <c r="C990" s="67"/>
    </row>
    <row r="991">
      <c r="A991" s="14"/>
      <c r="B991" s="67"/>
      <c r="C991" s="67"/>
    </row>
    <row r="992">
      <c r="A992" s="14"/>
      <c r="B992" s="67"/>
      <c r="C992" s="67"/>
    </row>
    <row r="993">
      <c r="A993" s="14"/>
      <c r="B993" s="67"/>
      <c r="C993" s="67"/>
    </row>
    <row r="994">
      <c r="A994" s="14"/>
      <c r="B994" s="67"/>
      <c r="C994" s="67"/>
    </row>
    <row r="995">
      <c r="A995" s="14"/>
      <c r="B995" s="67"/>
      <c r="C995" s="67"/>
    </row>
    <row r="996">
      <c r="A996" s="14"/>
      <c r="B996" s="67"/>
      <c r="C996" s="67"/>
    </row>
    <row r="997">
      <c r="A997" s="14"/>
      <c r="B997" s="67"/>
      <c r="C997" s="67"/>
    </row>
    <row r="998">
      <c r="A998" s="14"/>
      <c r="B998" s="67"/>
      <c r="C998" s="67"/>
    </row>
    <row r="999">
      <c r="A999" s="14"/>
      <c r="B999" s="67"/>
      <c r="C999" s="67"/>
    </row>
    <row r="1000">
      <c r="A1000" s="14"/>
      <c r="B1000" s="67"/>
      <c r="C1000" s="67"/>
    </row>
  </sheetData>
  <drawing r:id="rId1"/>
</worksheet>
</file>